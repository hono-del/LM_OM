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mc365-my.sharepoint.com/personal/h-ono_cmc_co_jp/Documents/デスクトップ/DOI_2512/docs/顧客M/"/>
    </mc:Choice>
  </mc:AlternateContent>
  <xr:revisionPtr revIDLastSave="480" documentId="13_ncr:1_{E3234500-05E3-4D5D-AE13-BB16BED10B53}" xr6:coauthVersionLast="47" xr6:coauthVersionMax="47" xr10:uidLastSave="{9FBAD022-CDC3-4D5C-A04E-E581030FF191}"/>
  <bookViews>
    <workbookView xWindow="-18975" yWindow="-19950" windowWidth="28800" windowHeight="15225" xr2:uid="{00000000-000D-0000-FFFF-FFFF00000000}"/>
  </bookViews>
  <sheets>
    <sheet name="評価一覧" sheetId="1" r:id="rId1"/>
    <sheet name="追加削除候補" sheetId="6" r:id="rId2"/>
    <sheet name="評価レベル定義" sheetId="2" r:id="rId3"/>
    <sheet name="COMS仕様差" sheetId="3" r:id="rId4"/>
    <sheet name="スケジュール" sheetId="5" r:id="rId5"/>
    <sheet name="スケジュール（仮）" sheetId="4" r:id="rId6"/>
  </sheets>
  <definedNames>
    <definedName name="_xlnm._FilterDatabase" localSheetId="0" hidden="1">評価一覧!$A$2:$J$42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 l="1"/>
  <c r="F30" i="6"/>
  <c r="F29" i="6"/>
  <c r="F26" i="6"/>
  <c r="F8" i="6"/>
</calcChain>
</file>

<file path=xl/sharedStrings.xml><?xml version="1.0" encoding="utf-8"?>
<sst xmlns="http://schemas.openxmlformats.org/spreadsheetml/2006/main" count="824" uniqueCount="481">
  <si>
    <t>章番号</t>
  </si>
  <si>
    <t>章名</t>
  </si>
  <si>
    <t>節番号</t>
  </si>
  <si>
    <t>節名</t>
  </si>
  <si>
    <t>ページ</t>
  </si>
  <si>
    <t>評価レベル</t>
  </si>
  <si>
    <t>Lean3での要否</t>
  </si>
  <si>
    <t>判断理由</t>
  </si>
  <si>
    <t>Lean3前提メモ</t>
  </si>
  <si>
    <t>表紙</t>
  </si>
  <si>
    <t>記載マスト</t>
  </si>
  <si>
    <t>目次</t>
  </si>
  <si>
    <t>条件付き</t>
  </si>
  <si>
    <t>イラスト目次</t>
  </si>
  <si>
    <t>知っておいていただきたいこと</t>
  </si>
  <si>
    <t>安全に関する表示</t>
  </si>
  <si>
    <t>1</t>
  </si>
  <si>
    <t>必ず読みましょう</t>
  </si>
  <si>
    <t>確認しましたか？</t>
  </si>
  <si>
    <t>p.1</t>
  </si>
  <si>
    <t>記載推奨</t>
  </si>
  <si>
    <t>必要</t>
  </si>
  <si>
    <t>初回利用前の前提条件・確認事項は安全上必須</t>
  </si>
  <si>
    <t>Lean3は1人乗り・第一種原動機付自転車で初回案内が重要</t>
  </si>
  <si>
    <t>2</t>
  </si>
  <si>
    <t>危険です！</t>
  </si>
  <si>
    <t>p.3</t>
  </si>
  <si>
    <t>禁止事項と危険行為の明示はPL/安全上必須</t>
  </si>
  <si>
    <t>Lean3は密閉キャビン・電動車で高電圧/火気/積載注意が必要</t>
  </si>
  <si>
    <t>3</t>
  </si>
  <si>
    <t>走行するときは！</t>
  </si>
  <si>
    <t>p.5</t>
  </si>
  <si>
    <t>走行時の注意事項は事故防止の中核</t>
  </si>
  <si>
    <t>Lean3は60km/h級で一般道路利用を想定し走行注意が重要</t>
  </si>
  <si>
    <t>4</t>
  </si>
  <si>
    <t>点検を受けてください！</t>
  </si>
  <si>
    <t>p.9</t>
  </si>
  <si>
    <t>ユーザー判断を超える異常時に販売店/指定先へつなぐ情報が必要</t>
  </si>
  <si>
    <t>Lean3は新規モビリティで保守境界の明示が重要</t>
  </si>
  <si>
    <t>5</t>
  </si>
  <si>
    <t>長くお使いいただくためには！</t>
  </si>
  <si>
    <t>p.10</t>
  </si>
  <si>
    <t>補足推奨</t>
  </si>
  <si>
    <t>寿命配慮や長持ち運用は満足度向上に効く</t>
  </si>
  <si>
    <t>Lean3はLFP電池採用のため保管/充電習慣の説明価値が高い</t>
  </si>
  <si>
    <t>警告・使用方法ラベルの種類と貼付け位置</t>
  </si>
  <si>
    <t>p.11</t>
  </si>
  <si>
    <t>実車ラベルの意味と位置は安全情報の入口</t>
  </si>
  <si>
    <t>Lean3は危険・警告ラベルを簡潔でも必ず示すべき</t>
  </si>
  <si>
    <t>充電について</t>
  </si>
  <si>
    <t>充電に関する装備</t>
  </si>
  <si>
    <t>p.13</t>
  </si>
  <si>
    <t>充電口・ケーブル・装備位置の理解は必須</t>
  </si>
  <si>
    <t>Lean3はAC100V/200V対応で家庭用充電を訴求している</t>
  </si>
  <si>
    <t>充電表示灯について</t>
  </si>
  <si>
    <t>充電開始/完了/異常を判断する基礎情報</t>
  </si>
  <si>
    <t>Lean3はデジタルメーター/5インチ表示がありUIとの接続が必要</t>
  </si>
  <si>
    <t>充電時の注意事項</t>
  </si>
  <si>
    <t>p.14</t>
  </si>
  <si>
    <t>火災・感電・誤使用防止のため必須</t>
  </si>
  <si>
    <t>Lean3は家庭用電源に対応するため一般ユーザー向け注意が重要</t>
  </si>
  <si>
    <t>バッテリーを長持ちさせるための充電方法</t>
  </si>
  <si>
    <t>p.18</t>
  </si>
  <si>
    <t>寿命と性能維持に関する運用情報として価値が高い</t>
  </si>
  <si>
    <t>Lean3はLFP電池で長期保管/推奨SOCの説明余地がある</t>
  </si>
  <si>
    <t>充電の方法</t>
  </si>
  <si>
    <t>p.19</t>
  </si>
  <si>
    <t>実際の手順がないと自己解決できない</t>
  </si>
  <si>
    <t>Lean3はシンプル充電を訴求しており手順整備が重要</t>
  </si>
  <si>
    <t>6</t>
  </si>
  <si>
    <t>バッテリーについて</t>
  </si>
  <si>
    <t>p.20</t>
  </si>
  <si>
    <t>性能・航続・保管の理解につながる</t>
  </si>
  <si>
    <t>Lean3は8.1kWh/100km/WLTCの説明と整合させたい</t>
  </si>
  <si>
    <t>安全装置（シートベルト）</t>
  </si>
  <si>
    <t/>
  </si>
  <si>
    <t>p.21</t>
  </si>
  <si>
    <t>1人乗りでも着用方法・禁止事項は必須</t>
  </si>
  <si>
    <t>Lean3の主要装備にシートベルトがある</t>
  </si>
  <si>
    <t>操作装置</t>
  </si>
  <si>
    <t>メーターの見方</t>
  </si>
  <si>
    <t>p.24</t>
  </si>
  <si>
    <t>基本表示の理解は運転の入口</t>
  </si>
  <si>
    <t>Lean3はデジタルメーター/5インチタッチディスプレイを備える</t>
  </si>
  <si>
    <t>表示灯・警告灯の見方</t>
  </si>
  <si>
    <t>p.25</t>
  </si>
  <si>
    <t>警告の優先度判断に直結する</t>
  </si>
  <si>
    <t>Lean3は電動車で充電/故障/安全警告の説明が必要</t>
  </si>
  <si>
    <t>視界の確保</t>
  </si>
  <si>
    <t>p.26</t>
  </si>
  <si>
    <t>安全運転に直結しキャビン車では重要</t>
  </si>
  <si>
    <t>Lean3はフルカバー型キャビンで窓・ミラー・曇り対策の説明価値がある</t>
  </si>
  <si>
    <t>運転装置</t>
  </si>
  <si>
    <t>p.28</t>
  </si>
  <si>
    <t>シフト・ブレーキ・スイッチ類の説明は必須</t>
  </si>
  <si>
    <t>Lean3はプッシュ式シフト採用</t>
  </si>
  <si>
    <t>快適装備</t>
  </si>
  <si>
    <t>収納装備</t>
  </si>
  <si>
    <t>p.35</t>
  </si>
  <si>
    <t>日常利用の分かりやすさ向上に有効</t>
  </si>
  <si>
    <t>Lean3の都市利用文脈では収納の扱い説明があるとよい</t>
  </si>
  <si>
    <t>その他の装備</t>
  </si>
  <si>
    <t>p.36</t>
  </si>
  <si>
    <t>空調・窓・USB等の主要装備は利用頻度が高い</t>
  </si>
  <si>
    <t>Lean3はエアコン・パワーウインドウ・Bluetooth・USB-Cを持つ</t>
  </si>
  <si>
    <t>車両仕様別装備</t>
  </si>
  <si>
    <t>p.47</t>
  </si>
  <si>
    <t>グレード差や仕様差がある場合のみ必要</t>
  </si>
  <si>
    <t>Lean3はLEDヘッドライト等にグレード設定の記載がある</t>
  </si>
  <si>
    <t>オプション部品</t>
  </si>
  <si>
    <t>p.52</t>
  </si>
  <si>
    <t>販売時の実装備差がある場合のみ有効</t>
  </si>
  <si>
    <t>Lean3の販売仕様が絞られるなら簡略化可能</t>
  </si>
  <si>
    <t>7</t>
  </si>
  <si>
    <t>運転操作</t>
  </si>
  <si>
    <t>走行する前に</t>
  </si>
  <si>
    <t>p.57</t>
  </si>
  <si>
    <t>走行前確認・発進前手順は安全の要</t>
  </si>
  <si>
    <t>Lean3でも出発前チェックの導線が重要</t>
  </si>
  <si>
    <t>走行</t>
  </si>
  <si>
    <t>p.58</t>
  </si>
  <si>
    <t>通常走行時の基本ルールは必須</t>
  </si>
  <si>
    <t>Lean3はActive Lean Technologyを持ち走行特性説明が必要</t>
  </si>
  <si>
    <t>停車</t>
  </si>
  <si>
    <t>p.59</t>
  </si>
  <si>
    <t>停止操作は安全上必須</t>
  </si>
  <si>
    <t>Lean3でも停止時手順と表示確認が必要</t>
  </si>
  <si>
    <t>駐車</t>
  </si>
  <si>
    <t>p.60</t>
  </si>
  <si>
    <t>離車・転動防止のため必須</t>
  </si>
  <si>
    <t>Lean3は都市利用前提で駐車頻度が高い</t>
  </si>
  <si>
    <t>8</t>
  </si>
  <si>
    <t>寒冷時の取扱い</t>
  </si>
  <si>
    <t>p.61</t>
  </si>
  <si>
    <t>全国販売を想定するなら寒冷条件の扱いは必要</t>
  </si>
  <si>
    <t>Lean3の電池性能・曇り・凍結影響を考えると独立または環境別整理が望ましい</t>
  </si>
  <si>
    <t>9</t>
  </si>
  <si>
    <t>メンテナンス</t>
  </si>
  <si>
    <t>日常点検</t>
  </si>
  <si>
    <t>p.63</t>
  </si>
  <si>
    <t>簡易車両でも走行前点検の考え方は必要</t>
  </si>
  <si>
    <t>Lean3は小型EVでもタイヤ・ブレーキ・灯火確認が重要</t>
  </si>
  <si>
    <t>お手入れ</t>
  </si>
  <si>
    <t>p.66</t>
  </si>
  <si>
    <t>清掃や保管の基本は利用者価値がある</t>
  </si>
  <si>
    <t>Lean3は外装/キャビン/充電口の清掃注意があるとよい</t>
  </si>
  <si>
    <t>電球（バルブ）の交換</t>
  </si>
  <si>
    <t>p.67</t>
  </si>
  <si>
    <t>不要候補</t>
  </si>
  <si>
    <t>LED一体型やサービス交換前提ならユーザー向け掲載は不要になりやすい</t>
  </si>
  <si>
    <t>Lean3はLEDヘッドライト/テールライトが主要装備</t>
  </si>
  <si>
    <t>その他の点検整備</t>
  </si>
  <si>
    <t>p.70</t>
  </si>
  <si>
    <t>ユーザー作業範囲とサービス範囲の切り分け次第</t>
  </si>
  <si>
    <t>Lean3で自己整備を想定しないなら簡略化可能</t>
  </si>
  <si>
    <t>メンテナンスデータ</t>
  </si>
  <si>
    <t>p.71</t>
  </si>
  <si>
    <t>タイヤサイズ・空気圧・主要諸元は参照需要が高い</t>
  </si>
  <si>
    <t>Lean3の公式仕様ページにもタイヤサイズ等がある</t>
  </si>
  <si>
    <t>10</t>
  </si>
  <si>
    <t>万一の場合</t>
  </si>
  <si>
    <t>警告機能</t>
  </si>
  <si>
    <t>p.73</t>
  </si>
  <si>
    <t>異常時の初動判断に直結する</t>
  </si>
  <si>
    <t>Lean3では表示灯・メッセージと連動した説明が必要</t>
  </si>
  <si>
    <t>けん引</t>
  </si>
  <si>
    <t>p.76</t>
  </si>
  <si>
    <t>走行不能時の搬送制限は重要</t>
  </si>
  <si>
    <t>Lean3の小型車体ではけん引可否や制限を明確にすべき</t>
  </si>
  <si>
    <t>固縛ポイント</t>
  </si>
  <si>
    <t>p.77</t>
  </si>
  <si>
    <t>一般ユーザーより搬送/整備向け情報のため条件付き</t>
  </si>
  <si>
    <t>Lean3でユーザー公開範囲を限定するなら別資料化も可能</t>
  </si>
  <si>
    <t>ジャッキアップ</t>
  </si>
  <si>
    <t>パンク時ユーザー交換を想定しないなら不要になりやすい</t>
  </si>
  <si>
    <t>Lean3でスペア交換より救援前提なら本文優先度は低い</t>
  </si>
  <si>
    <t>11</t>
  </si>
  <si>
    <t>廃棄するとき</t>
  </si>
  <si>
    <t>p.78</t>
  </si>
  <si>
    <t>電池車両では廃棄・回収の導線が重要</t>
  </si>
  <si>
    <t>Lean3はLFP電池を搭載し廃棄/回収の説明が必要</t>
  </si>
  <si>
    <t>定義</t>
  </si>
  <si>
    <t>判断基準</t>
  </si>
  <si>
    <t>例</t>
  </si>
  <si>
    <t>安全・法規・基本操作の観点で落とせない項目。これがないと誤使用・事故・法規/PL上の抜け・初回利用不能につながりやすい。</t>
  </si>
  <si>
    <t>安全に直結 / 法規・PL上の説明責任が重い / 初回利用や基本操作に必須 / 警告や異常時対応に直結</t>
  </si>
  <si>
    <t>危険事項、警告ラベル、充電時の注意、シートベルト、メーター/警告灯、発進/停車/駐車、警告機能</t>
  </si>
  <si>
    <t>原則載せるべき項目。必須級ではない場合もあるが、利用者の安全・理解・自己解決性を考えると入れておく価値が高い。</t>
  </si>
  <si>
    <t>事故防止や故障回避に効く / 問い合わせ削減に効く / 主要機能の理解に役立つ / 利用頻度や参照頻度が高い</t>
  </si>
  <si>
    <t>点検を受けるべき時、バッテリーを長持ちさせる充電方法、視界の確保、寒冷時の取扱い、日常点検、けん引、廃棄時の扱い</t>
  </si>
  <si>
    <t>なくても成立するが、あると満足度や理解が上がる項目。主に補助情報、運用改善、長期利用の質向上に効く。</t>
  </si>
  <si>
    <t>本文の必須要件ではない / なくても最低限の利用は可能 / あると理解や納得感が増す / 長期利用やUX向上に効く</t>
  </si>
  <si>
    <t>長く使うためのコツ、収納装備、お手入れ</t>
  </si>
  <si>
    <t>車両仕様、販売形態、運用方針によって要否が変わる項目。標準で全て載せるとは限らず、実装備やサービス設計に応じて採否を決める。</t>
  </si>
  <si>
    <t>グレード差分に依存 / オプション有無に依存 / 一般ユーザー向けか整備者向けかで変わる / 本文ではなく別資料化してもよい</t>
  </si>
  <si>
    <t>車両仕様別装備、オプション部品、その他の点検整備、固縛ポイント</t>
  </si>
  <si>
    <t>Lean3の一般ユーザー向け本文では優先度が低く、載せない方がよい可能性が高い項目。ただし完全不要ではなく、別資料・FAQ・整備資料向きという意味。</t>
  </si>
  <si>
    <t>一般ユーザーが通常参照しない / サービス対応前提で自己作業を想定しない / 実機仕様上ほぼ不要 / 誤作業を誘発する恐れがある / 本文より別資料向き</t>
  </si>
  <si>
    <t>電球（バルブ）の交換、ジャッキアップ</t>
  </si>
  <si>
    <t>記載推奨（一部）</t>
    <rPh sb="0" eb="2">
      <t>キサイ</t>
    </rPh>
    <rPh sb="2" eb="4">
      <t>スイショウ</t>
    </rPh>
    <rPh sb="5" eb="7">
      <t>イチブ</t>
    </rPh>
    <phoneticPr fontId="2"/>
  </si>
  <si>
    <t>補足推奨</t>
    <phoneticPr fontId="2"/>
  </si>
  <si>
    <t>法規次第</t>
    <rPh sb="0" eb="4">
      <t>ホウキシダイ</t>
    </rPh>
    <phoneticPr fontId="2"/>
  </si>
  <si>
    <t>記載マスト</t>
    <phoneticPr fontId="2"/>
  </si>
  <si>
    <t>ユーザーにどこまでやらせるか</t>
    <phoneticPr fontId="2"/>
  </si>
  <si>
    <t>補足推奨</t>
    <rPh sb="0" eb="2">
      <t>ホソク</t>
    </rPh>
    <phoneticPr fontId="2"/>
  </si>
  <si>
    <t>本にするなら必要</t>
    <rPh sb="6" eb="8">
      <t>ヒツヨウ</t>
    </rPh>
    <phoneticPr fontId="2"/>
  </si>
  <si>
    <t>法規次第</t>
    <rPh sb="0" eb="2">
      <t>ホウキ</t>
    </rPh>
    <rPh sb="2" eb="4">
      <t>シダイ</t>
    </rPh>
    <phoneticPr fontId="2"/>
  </si>
  <si>
    <t>コメント</t>
    <phoneticPr fontId="2"/>
  </si>
  <si>
    <t>法規として載せなければならない要件は決まっている？</t>
    <rPh sb="0" eb="2">
      <t>ホウキ</t>
    </rPh>
    <rPh sb="5" eb="6">
      <t>ノ</t>
    </rPh>
    <rPh sb="15" eb="17">
      <t>ヨウケン</t>
    </rPh>
    <rPh sb="18" eb="19">
      <t>キ</t>
    </rPh>
    <phoneticPr fontId="2"/>
  </si>
  <si>
    <t>安全に関わる内容、事故やケガに繋がる恐れがあるため必要</t>
    <rPh sb="0" eb="2">
      <t>アンゼン</t>
    </rPh>
    <rPh sb="3" eb="4">
      <t>カカ</t>
    </rPh>
    <rPh sb="6" eb="8">
      <t>ナイヨウ</t>
    </rPh>
    <rPh sb="9" eb="11">
      <t>ジコ</t>
    </rPh>
    <rPh sb="15" eb="16">
      <t>ツナ</t>
    </rPh>
    <rPh sb="18" eb="19">
      <t>オソ</t>
    </rPh>
    <rPh sb="25" eb="27">
      <t>ヒツヨウ</t>
    </rPh>
    <phoneticPr fontId="2"/>
  </si>
  <si>
    <t>車両保護、保守管理の観点で必要</t>
    <rPh sb="0" eb="4">
      <t>シャリョウホゴ</t>
    </rPh>
    <rPh sb="5" eb="9">
      <t>ホシュカンリ</t>
    </rPh>
    <rPh sb="10" eb="12">
      <t>カンテン</t>
    </rPh>
    <rPh sb="13" eb="15">
      <t>ヒツヨウ</t>
    </rPh>
    <phoneticPr fontId="2"/>
  </si>
  <si>
    <t>Lean3特有の注意事項や一般的な危険事項、安全の為守っていただきたい事項</t>
    <rPh sb="5" eb="7">
      <t>トクユウ</t>
    </rPh>
    <rPh sb="8" eb="12">
      <t>チュウイジコウ</t>
    </rPh>
    <rPh sb="13" eb="16">
      <t>イッパンテキ</t>
    </rPh>
    <rPh sb="17" eb="19">
      <t>キケン</t>
    </rPh>
    <rPh sb="19" eb="21">
      <t>ジコウ</t>
    </rPh>
    <rPh sb="22" eb="24">
      <t>アンゼン</t>
    </rPh>
    <rPh sb="25" eb="26">
      <t>タメ</t>
    </rPh>
    <rPh sb="26" eb="27">
      <t>マモ</t>
    </rPh>
    <rPh sb="35" eb="37">
      <t>ジコウ</t>
    </rPh>
    <phoneticPr fontId="2"/>
  </si>
  <si>
    <t>第3者がなんらか救援する際には安全の為に必要</t>
    <rPh sb="0" eb="1">
      <t>ダイ</t>
    </rPh>
    <rPh sb="2" eb="3">
      <t>シャ</t>
    </rPh>
    <rPh sb="8" eb="10">
      <t>キュウエン</t>
    </rPh>
    <rPh sb="12" eb="13">
      <t>サイ</t>
    </rPh>
    <rPh sb="15" eb="17">
      <t>アンゼン</t>
    </rPh>
    <rPh sb="18" eb="19">
      <t>タメ</t>
    </rPh>
    <rPh sb="20" eb="22">
      <t>ヒツヨウ</t>
    </rPh>
    <phoneticPr fontId="2"/>
  </si>
  <si>
    <t>充電状態、充電時間、表示灯遷移は必要か</t>
    <rPh sb="0" eb="4">
      <t>ジュウデンジョウタイ</t>
    </rPh>
    <rPh sb="5" eb="9">
      <t>ジュウデンジカン</t>
    </rPh>
    <rPh sb="10" eb="13">
      <t>ヒョウジトウ</t>
    </rPh>
    <rPh sb="13" eb="15">
      <t>センイ</t>
    </rPh>
    <rPh sb="16" eb="18">
      <t>ヒツヨウ</t>
    </rPh>
    <phoneticPr fontId="2"/>
  </si>
  <si>
    <t>怪我や死亡に繋がる恐れがある為必要、他一般的な内容はLean3のご要望次第</t>
    <rPh sb="0" eb="2">
      <t>ケガ</t>
    </rPh>
    <rPh sb="3" eb="5">
      <t>シボウ</t>
    </rPh>
    <rPh sb="6" eb="7">
      <t>ツナ</t>
    </rPh>
    <rPh sb="9" eb="10">
      <t>オソ</t>
    </rPh>
    <rPh sb="14" eb="15">
      <t>タメ</t>
    </rPh>
    <rPh sb="15" eb="17">
      <t>ヒツヨウ</t>
    </rPh>
    <phoneticPr fontId="2"/>
  </si>
  <si>
    <t>バッテリの長持ちはメーカー意図が強い、即時故障するものではない為要望がなければ不要かも</t>
    <rPh sb="5" eb="7">
      <t>ナガモ</t>
    </rPh>
    <rPh sb="13" eb="15">
      <t>イト</t>
    </rPh>
    <rPh sb="16" eb="17">
      <t>ツヨ</t>
    </rPh>
    <rPh sb="19" eb="21">
      <t>ソクジ</t>
    </rPh>
    <rPh sb="21" eb="23">
      <t>コショウ</t>
    </rPh>
    <rPh sb="31" eb="32">
      <t>タメ</t>
    </rPh>
    <rPh sb="32" eb="34">
      <t>ヨウボウ</t>
    </rPh>
    <rPh sb="39" eb="41">
      <t>フヨウ</t>
    </rPh>
    <phoneticPr fontId="2"/>
  </si>
  <si>
    <t>接続方法は一回覚えればわかるなら販売時の説明でいいかも、充電方法のページでも記載あるので重複</t>
    <rPh sb="0" eb="2">
      <t>セツゾク</t>
    </rPh>
    <rPh sb="2" eb="4">
      <t>ホウホウ</t>
    </rPh>
    <rPh sb="5" eb="7">
      <t>イッカイ</t>
    </rPh>
    <rPh sb="7" eb="8">
      <t>オボ</t>
    </rPh>
    <rPh sb="16" eb="19">
      <t>ハンバイジ</t>
    </rPh>
    <rPh sb="20" eb="22">
      <t>セツメイ</t>
    </rPh>
    <rPh sb="28" eb="30">
      <t>ジュウデン</t>
    </rPh>
    <rPh sb="30" eb="32">
      <t>ホウホウ</t>
    </rPh>
    <rPh sb="38" eb="40">
      <t>キサイ</t>
    </rPh>
    <rPh sb="44" eb="46">
      <t>チョウフク</t>
    </rPh>
    <phoneticPr fontId="2"/>
  </si>
  <si>
    <t>正しい充電方法の手順として記載必要</t>
    <rPh sb="0" eb="1">
      <t>タダ</t>
    </rPh>
    <rPh sb="3" eb="5">
      <t>ジュウデン</t>
    </rPh>
    <rPh sb="5" eb="7">
      <t>ホウホウ</t>
    </rPh>
    <rPh sb="8" eb="10">
      <t>テジュン</t>
    </rPh>
    <rPh sb="13" eb="15">
      <t>キサイ</t>
    </rPh>
    <rPh sb="15" eb="17">
      <t>ヒツヨウ</t>
    </rPh>
    <phoneticPr fontId="2"/>
  </si>
  <si>
    <t>COMSは定期交換部品として記載ありだが、Lean3はそういったものでなければ不要かも</t>
    <rPh sb="5" eb="7">
      <t>テイキ</t>
    </rPh>
    <rPh sb="7" eb="9">
      <t>コウカン</t>
    </rPh>
    <rPh sb="9" eb="11">
      <t>ブヒン</t>
    </rPh>
    <rPh sb="14" eb="16">
      <t>キサイ</t>
    </rPh>
    <rPh sb="39" eb="41">
      <t>フヨウ</t>
    </rPh>
    <phoneticPr fontId="2"/>
  </si>
  <si>
    <t>怪我や死亡に名繋がる恐れがあるため必要
原動機付自転車の定義として道交法(シートベルトの要件)も併せて確認</t>
    <rPh sb="0" eb="2">
      <t>ケガ</t>
    </rPh>
    <rPh sb="3" eb="5">
      <t>シボウ</t>
    </rPh>
    <rPh sb="6" eb="8">
      <t>ナツナ</t>
    </rPh>
    <rPh sb="10" eb="11">
      <t>オソ</t>
    </rPh>
    <rPh sb="17" eb="19">
      <t>ヒツヨウ</t>
    </rPh>
    <rPh sb="20" eb="24">
      <t>ゲンドウキツキ</t>
    </rPh>
    <rPh sb="24" eb="27">
      <t>ジテンシャ</t>
    </rPh>
    <rPh sb="28" eb="30">
      <t>テイギ</t>
    </rPh>
    <rPh sb="33" eb="36">
      <t>ドウコウホウ</t>
    </rPh>
    <rPh sb="44" eb="46">
      <t>ヨウケン</t>
    </rPh>
    <rPh sb="48" eb="49">
      <t>アワ</t>
    </rPh>
    <rPh sb="51" eb="53">
      <t>カクニン</t>
    </rPh>
    <phoneticPr fontId="2"/>
  </si>
  <si>
    <t>運転の基本、異常確認としてメーターの表示意味を伝える必要あり、ODDトリップ切り替え説明まで必要かは判断</t>
    <rPh sb="0" eb="2">
      <t>ウンテン</t>
    </rPh>
    <rPh sb="3" eb="5">
      <t>キホン</t>
    </rPh>
    <rPh sb="6" eb="8">
      <t>イジョウ</t>
    </rPh>
    <rPh sb="8" eb="10">
      <t>カクニン</t>
    </rPh>
    <rPh sb="18" eb="20">
      <t>ヒョウジ</t>
    </rPh>
    <rPh sb="20" eb="22">
      <t>イミ</t>
    </rPh>
    <rPh sb="23" eb="24">
      <t>ツタ</t>
    </rPh>
    <rPh sb="26" eb="28">
      <t>ヒツヨウ</t>
    </rPh>
    <rPh sb="38" eb="39">
      <t>キ</t>
    </rPh>
    <rPh sb="40" eb="41">
      <t>カ</t>
    </rPh>
    <rPh sb="42" eb="44">
      <t>セツメイ</t>
    </rPh>
    <rPh sb="46" eb="48">
      <t>ヒツヨウ</t>
    </rPh>
    <rPh sb="50" eb="52">
      <t>ハンダン</t>
    </rPh>
    <phoneticPr fontId="2"/>
  </si>
  <si>
    <t>正常作動時の状態と各表示等の意味を説明する必要あり</t>
    <rPh sb="0" eb="2">
      <t>セイジョウ</t>
    </rPh>
    <rPh sb="2" eb="5">
      <t>サドウジ</t>
    </rPh>
    <rPh sb="6" eb="8">
      <t>ジョウタイ</t>
    </rPh>
    <rPh sb="9" eb="10">
      <t>カク</t>
    </rPh>
    <rPh sb="10" eb="12">
      <t>ヒョウジ</t>
    </rPh>
    <rPh sb="12" eb="13">
      <t>トウ</t>
    </rPh>
    <rPh sb="14" eb="16">
      <t>イミ</t>
    </rPh>
    <rPh sb="17" eb="19">
      <t>セツメイ</t>
    </rPh>
    <rPh sb="21" eb="23">
      <t>ヒツヨウ</t>
    </rPh>
    <phoneticPr fontId="2"/>
  </si>
  <si>
    <t xml:space="preserve">事故やケガ、道交法違反のリスク、安全に運行する為に各装置の説明をする必要あり
</t>
    <rPh sb="0" eb="2">
      <t>ジコ</t>
    </rPh>
    <rPh sb="6" eb="9">
      <t>ドウコウホウ</t>
    </rPh>
    <rPh sb="9" eb="11">
      <t>イハン</t>
    </rPh>
    <rPh sb="16" eb="18">
      <t>アンゼン</t>
    </rPh>
    <rPh sb="19" eb="21">
      <t>ウンコウ</t>
    </rPh>
    <rPh sb="23" eb="24">
      <t>タメ</t>
    </rPh>
    <rPh sb="25" eb="26">
      <t>カク</t>
    </rPh>
    <rPh sb="26" eb="28">
      <t>ソウチ</t>
    </rPh>
    <rPh sb="29" eb="31">
      <t>セツメイ</t>
    </rPh>
    <rPh sb="34" eb="36">
      <t>ヒツヨウ</t>
    </rPh>
    <phoneticPr fontId="2"/>
  </si>
  <si>
    <t>事故やケガ、道交法違反のリスク、安全に運行する為に各装置の説明をする必要あり
シートカバーの修正方法など運転に関わらないものは不要</t>
    <rPh sb="0" eb="2">
      <t>ジコ</t>
    </rPh>
    <rPh sb="6" eb="9">
      <t>ドウコウホウ</t>
    </rPh>
    <rPh sb="9" eb="11">
      <t>イハン</t>
    </rPh>
    <rPh sb="16" eb="18">
      <t>アンゼン</t>
    </rPh>
    <rPh sb="19" eb="21">
      <t>ウンコウ</t>
    </rPh>
    <rPh sb="23" eb="24">
      <t>タメ</t>
    </rPh>
    <rPh sb="25" eb="26">
      <t>カク</t>
    </rPh>
    <rPh sb="26" eb="28">
      <t>ソウチ</t>
    </rPh>
    <rPh sb="29" eb="31">
      <t>セツメイ</t>
    </rPh>
    <rPh sb="34" eb="36">
      <t>ヒツヨウ</t>
    </rPh>
    <rPh sb="46" eb="48">
      <t>シュウセイ</t>
    </rPh>
    <rPh sb="48" eb="50">
      <t>ホウホウ</t>
    </rPh>
    <rPh sb="52" eb="54">
      <t>ウンテン</t>
    </rPh>
    <rPh sb="55" eb="56">
      <t>カカ</t>
    </rPh>
    <rPh sb="63" eb="65">
      <t>フヨウ</t>
    </rPh>
    <phoneticPr fontId="2"/>
  </si>
  <si>
    <t xml:space="preserve">収納類については販売時の説明でお伝えするでよいかも、Leanに特化した特異な手順があるのであれば検討必要
</t>
    <rPh sb="0" eb="2">
      <t>シュウノウ</t>
    </rPh>
    <rPh sb="2" eb="3">
      <t>ルイ</t>
    </rPh>
    <rPh sb="8" eb="11">
      <t>ハンバイジ</t>
    </rPh>
    <rPh sb="12" eb="14">
      <t>セツメイ</t>
    </rPh>
    <rPh sb="16" eb="17">
      <t>ツタ</t>
    </rPh>
    <rPh sb="31" eb="33">
      <t>トッカ</t>
    </rPh>
    <rPh sb="35" eb="37">
      <t>トクイ</t>
    </rPh>
    <rPh sb="38" eb="40">
      <t>テジュン</t>
    </rPh>
    <rPh sb="48" eb="50">
      <t>ケントウ</t>
    </rPh>
    <rPh sb="50" eb="52">
      <t>ヒツヨウ</t>
    </rPh>
    <phoneticPr fontId="2"/>
  </si>
  <si>
    <t>仕様違いによって操作が大きく異なる場合は必要、そうでなければ不要</t>
    <rPh sb="0" eb="2">
      <t>シヨウ</t>
    </rPh>
    <rPh sb="2" eb="3">
      <t>チガ</t>
    </rPh>
    <rPh sb="8" eb="10">
      <t>ソウサ</t>
    </rPh>
    <rPh sb="11" eb="12">
      <t>オオ</t>
    </rPh>
    <rPh sb="14" eb="15">
      <t>コト</t>
    </rPh>
    <rPh sb="17" eb="19">
      <t>バアイ</t>
    </rPh>
    <rPh sb="20" eb="22">
      <t>ヒツヨウ</t>
    </rPh>
    <rPh sb="30" eb="32">
      <t>フヨウ</t>
    </rPh>
    <phoneticPr fontId="2"/>
  </si>
  <si>
    <t>オプション部品は拡張性の可能性含めて部品に特化して説明書を付帯(別添)した方が良いと思われる、自動車事業の用品取扱書のようなイメージ</t>
    <rPh sb="5" eb="7">
      <t>ブヒン</t>
    </rPh>
    <rPh sb="8" eb="10">
      <t>カクチョウ</t>
    </rPh>
    <rPh sb="10" eb="11">
      <t>セイ</t>
    </rPh>
    <rPh sb="12" eb="15">
      <t>カノウセイ</t>
    </rPh>
    <rPh sb="15" eb="16">
      <t>フク</t>
    </rPh>
    <rPh sb="18" eb="20">
      <t>ブヒン</t>
    </rPh>
    <rPh sb="21" eb="23">
      <t>トッカ</t>
    </rPh>
    <rPh sb="25" eb="28">
      <t>セツメイショ</t>
    </rPh>
    <rPh sb="29" eb="31">
      <t>フタイ</t>
    </rPh>
    <rPh sb="32" eb="34">
      <t>ベッテン</t>
    </rPh>
    <rPh sb="37" eb="38">
      <t>ホウ</t>
    </rPh>
    <rPh sb="39" eb="40">
      <t>ヨ</t>
    </rPh>
    <rPh sb="42" eb="43">
      <t>オモ</t>
    </rPh>
    <rPh sb="47" eb="50">
      <t>ジドウシャ</t>
    </rPh>
    <rPh sb="50" eb="52">
      <t>ジギョウ</t>
    </rPh>
    <rPh sb="53" eb="58">
      <t>ヨウヒントリアツカイショ</t>
    </rPh>
    <phoneticPr fontId="2"/>
  </si>
  <si>
    <t>一般的な運転をする準備として必要</t>
    <rPh sb="0" eb="3">
      <t>イッパンテキ</t>
    </rPh>
    <rPh sb="4" eb="6">
      <t>ウンテン</t>
    </rPh>
    <rPh sb="9" eb="11">
      <t>ジュンビ</t>
    </rPh>
    <rPh sb="14" eb="16">
      <t>ヒツヨウ</t>
    </rPh>
    <phoneticPr fontId="2"/>
  </si>
  <si>
    <t>一般的な運転をする準備として必要
ハンドルロック⇒解除方法を記載必要</t>
    <rPh sb="0" eb="3">
      <t>イッパンテキ</t>
    </rPh>
    <rPh sb="4" eb="6">
      <t>ウンテン</t>
    </rPh>
    <rPh sb="9" eb="11">
      <t>ジュンビ</t>
    </rPh>
    <rPh sb="14" eb="16">
      <t>ヒツヨウ</t>
    </rPh>
    <rPh sb="25" eb="27">
      <t>カイジョ</t>
    </rPh>
    <rPh sb="27" eb="29">
      <t>ホウホウ</t>
    </rPh>
    <rPh sb="30" eb="32">
      <t>キサイ</t>
    </rPh>
    <rPh sb="32" eb="34">
      <t>ヒツヨウ</t>
    </rPh>
    <phoneticPr fontId="2"/>
  </si>
  <si>
    <t>寒冷地でフェイタルな問題がある場合(故障する、怪我する等)であれば記載する必要があるが、一般的な内容までは不要と考える
雪道等での取り扱い(チェーン装着輪の規制等)があれば冒頭ページに記載でもいいかも</t>
    <rPh sb="0" eb="2">
      <t>カンレイ</t>
    </rPh>
    <rPh sb="2" eb="3">
      <t>チ</t>
    </rPh>
    <rPh sb="10" eb="12">
      <t>モンダイ</t>
    </rPh>
    <rPh sb="15" eb="17">
      <t>バアイ</t>
    </rPh>
    <rPh sb="18" eb="20">
      <t>コショウ</t>
    </rPh>
    <rPh sb="23" eb="25">
      <t>ケガ</t>
    </rPh>
    <rPh sb="27" eb="28">
      <t>ナド</t>
    </rPh>
    <rPh sb="33" eb="35">
      <t>キサイ</t>
    </rPh>
    <rPh sb="37" eb="39">
      <t>ヒツヨウ</t>
    </rPh>
    <rPh sb="44" eb="47">
      <t>イッパンテキ</t>
    </rPh>
    <rPh sb="48" eb="50">
      <t>ナイヨウ</t>
    </rPh>
    <rPh sb="53" eb="55">
      <t>フヨウ</t>
    </rPh>
    <rPh sb="56" eb="57">
      <t>カンガ</t>
    </rPh>
    <rPh sb="60" eb="62">
      <t>ユキミチ</t>
    </rPh>
    <rPh sb="62" eb="63">
      <t>トウ</t>
    </rPh>
    <rPh sb="65" eb="66">
      <t>ト</t>
    </rPh>
    <rPh sb="67" eb="68">
      <t>アツカ</t>
    </rPh>
    <rPh sb="74" eb="76">
      <t>ソウチャク</t>
    </rPh>
    <rPh sb="76" eb="77">
      <t>リン</t>
    </rPh>
    <rPh sb="78" eb="80">
      <t>キセイ</t>
    </rPh>
    <rPh sb="80" eb="81">
      <t>ナド</t>
    </rPh>
    <rPh sb="86" eb="88">
      <t>ボウトウ</t>
    </rPh>
    <rPh sb="92" eb="94">
      <t>キサイ</t>
    </rPh>
    <phoneticPr fontId="2"/>
  </si>
  <si>
    <t>走行前の日常点検として、点検項目を決めて記載する必要あり(基本的には走る曲がる止まるおよび道交法に関係するところは厚目に)</t>
    <rPh sb="0" eb="3">
      <t>ソウコウマエ</t>
    </rPh>
    <rPh sb="4" eb="8">
      <t>ニチジョウテンケン</t>
    </rPh>
    <rPh sb="12" eb="14">
      <t>テンケン</t>
    </rPh>
    <rPh sb="14" eb="16">
      <t>コウモク</t>
    </rPh>
    <rPh sb="17" eb="18">
      <t>キ</t>
    </rPh>
    <rPh sb="20" eb="22">
      <t>キサイ</t>
    </rPh>
    <rPh sb="24" eb="26">
      <t>ヒツヨウ</t>
    </rPh>
    <rPh sb="29" eb="32">
      <t>キホンテキ</t>
    </rPh>
    <rPh sb="34" eb="35">
      <t>ハシ</t>
    </rPh>
    <rPh sb="36" eb="37">
      <t>マ</t>
    </rPh>
    <rPh sb="39" eb="40">
      <t>ト</t>
    </rPh>
    <rPh sb="45" eb="48">
      <t>ドウコウホウ</t>
    </rPh>
    <rPh sb="49" eb="51">
      <t>カンケイ</t>
    </rPh>
    <rPh sb="57" eb="58">
      <t>アツ</t>
    </rPh>
    <rPh sb="58" eb="59">
      <t>メ</t>
    </rPh>
    <phoneticPr fontId="2"/>
  </si>
  <si>
    <t>一般的なお手入れの話であれば不要</t>
    <rPh sb="0" eb="3">
      <t>イッパンテキ</t>
    </rPh>
    <rPh sb="5" eb="7">
      <t>テイ</t>
    </rPh>
    <rPh sb="9" eb="10">
      <t>ハナシ</t>
    </rPh>
    <rPh sb="14" eb="16">
      <t>フヨウ</t>
    </rPh>
    <phoneticPr fontId="2"/>
  </si>
  <si>
    <t>LEDでバルブ交換できないものに関しては不要</t>
    <rPh sb="7" eb="9">
      <t>コウカン</t>
    </rPh>
    <rPh sb="16" eb="17">
      <t>カン</t>
    </rPh>
    <rPh sb="20" eb="22">
      <t>フヨウ</t>
    </rPh>
    <phoneticPr fontId="2"/>
  </si>
  <si>
    <t>顧客での点検整備を行わないならば、サービスマニュアルに記載があれば良い為不要
スペックに関しては販売マニュアル等に記載しべき事項であり、取扱書では不要</t>
    <rPh sb="0" eb="2">
      <t>コキャク</t>
    </rPh>
    <rPh sb="4" eb="6">
      <t>テンケン</t>
    </rPh>
    <rPh sb="6" eb="8">
      <t>セイビ</t>
    </rPh>
    <rPh sb="9" eb="10">
      <t>オコナ</t>
    </rPh>
    <rPh sb="27" eb="29">
      <t>キサイ</t>
    </rPh>
    <rPh sb="33" eb="34">
      <t>ヨ</t>
    </rPh>
    <rPh sb="35" eb="36">
      <t>タメ</t>
    </rPh>
    <rPh sb="36" eb="38">
      <t>フヨウ</t>
    </rPh>
    <phoneticPr fontId="2"/>
  </si>
  <si>
    <t>ユーザーへ異常を知らせる為必要、故障・事故の未然防止の目的</t>
    <rPh sb="5" eb="7">
      <t>イジョウ</t>
    </rPh>
    <rPh sb="8" eb="9">
      <t>シ</t>
    </rPh>
    <rPh sb="12" eb="13">
      <t>タメ</t>
    </rPh>
    <rPh sb="13" eb="15">
      <t>ヒツヨウ</t>
    </rPh>
    <rPh sb="16" eb="18">
      <t>コショウ</t>
    </rPh>
    <rPh sb="19" eb="21">
      <t>ジコ</t>
    </rPh>
    <rPh sb="22" eb="24">
      <t>ミゼン</t>
    </rPh>
    <rPh sb="24" eb="26">
      <t>ボウシ</t>
    </rPh>
    <rPh sb="27" eb="29">
      <t>モクテキ</t>
    </rPh>
    <phoneticPr fontId="2"/>
  </si>
  <si>
    <t>第三者救援時どのように運ぶかを車両側で認識する為必要、故障搬送時安全の為</t>
    <rPh sb="0" eb="3">
      <t>ダイサンシャ</t>
    </rPh>
    <rPh sb="3" eb="5">
      <t>キュウエン</t>
    </rPh>
    <rPh sb="5" eb="6">
      <t>ジ</t>
    </rPh>
    <rPh sb="11" eb="12">
      <t>ハコ</t>
    </rPh>
    <rPh sb="15" eb="18">
      <t>シャリョウガワ</t>
    </rPh>
    <rPh sb="19" eb="21">
      <t>ニンシキ</t>
    </rPh>
    <rPh sb="23" eb="24">
      <t>タメ</t>
    </rPh>
    <rPh sb="24" eb="26">
      <t>ヒツヨウ</t>
    </rPh>
    <rPh sb="27" eb="29">
      <t>コショウ</t>
    </rPh>
    <rPh sb="29" eb="31">
      <t>ハンソウ</t>
    </rPh>
    <rPh sb="31" eb="32">
      <t>ジ</t>
    </rPh>
    <rPh sb="32" eb="34">
      <t>アンゼン</t>
    </rPh>
    <rPh sb="35" eb="36">
      <t>タメ</t>
    </rPh>
    <phoneticPr fontId="2"/>
  </si>
  <si>
    <t>安全を担保できない可能性あり、容易でないならば顧客でのタイヤローテーションやらせない方がよい？、基準があればサービスマニュアルで記載、顧客での日常点検以外の点検整備の記載は不要</t>
    <rPh sb="15" eb="17">
      <t>ヨウイ</t>
    </rPh>
    <rPh sb="23" eb="25">
      <t>コキャク</t>
    </rPh>
    <rPh sb="42" eb="43">
      <t>ホウ</t>
    </rPh>
    <rPh sb="48" eb="50">
      <t>キジュン</t>
    </rPh>
    <rPh sb="64" eb="66">
      <t>キサイ</t>
    </rPh>
    <rPh sb="67" eb="69">
      <t>コキャク</t>
    </rPh>
    <rPh sb="71" eb="75">
      <t>ニチジョウテンケン</t>
    </rPh>
    <rPh sb="75" eb="77">
      <t>イガイ</t>
    </rPh>
    <rPh sb="78" eb="80">
      <t>テンケン</t>
    </rPh>
    <rPh sb="80" eb="82">
      <t>セイビ</t>
    </rPh>
    <rPh sb="83" eb="85">
      <t>キサイ</t>
    </rPh>
    <rPh sb="86" eb="88">
      <t>フヨウ</t>
    </rPh>
    <phoneticPr fontId="2"/>
  </si>
  <si>
    <t>スペアタイヤの準備がある？救援前提であれば記載は不要、予期せぬ状況(溝に落ちる脱輪する)で救済時に必要となるのであればジャッキポイントや吊り上げポイントを記載してもよい</t>
    <rPh sb="7" eb="9">
      <t>ジュンビ</t>
    </rPh>
    <rPh sb="13" eb="15">
      <t>キュウエン</t>
    </rPh>
    <rPh sb="15" eb="17">
      <t>ゼンテイ</t>
    </rPh>
    <rPh sb="21" eb="23">
      <t>キサイ</t>
    </rPh>
    <rPh sb="24" eb="26">
      <t>フヨウ</t>
    </rPh>
    <rPh sb="27" eb="29">
      <t>ヨキ</t>
    </rPh>
    <rPh sb="31" eb="33">
      <t>ジョウキョウ</t>
    </rPh>
    <rPh sb="34" eb="35">
      <t>ミゾ</t>
    </rPh>
    <rPh sb="36" eb="37">
      <t>オ</t>
    </rPh>
    <rPh sb="39" eb="40">
      <t>ダツ</t>
    </rPh>
    <rPh sb="40" eb="41">
      <t>リン</t>
    </rPh>
    <rPh sb="45" eb="47">
      <t>キュウサイ</t>
    </rPh>
    <rPh sb="47" eb="48">
      <t>ジ</t>
    </rPh>
    <rPh sb="49" eb="51">
      <t>ヒツヨウ</t>
    </rPh>
    <rPh sb="68" eb="69">
      <t>ツ</t>
    </rPh>
    <rPh sb="70" eb="71">
      <t>ア</t>
    </rPh>
    <rPh sb="77" eb="79">
      <t>キサイ</t>
    </rPh>
    <phoneticPr fontId="2"/>
  </si>
  <si>
    <t>廃棄する際は廃棄マニュアルを別途準備した方がよい(販売店向け)</t>
    <rPh sb="0" eb="2">
      <t>ハイキ</t>
    </rPh>
    <rPh sb="4" eb="5">
      <t>サイ</t>
    </rPh>
    <rPh sb="6" eb="8">
      <t>ハイキ</t>
    </rPh>
    <rPh sb="14" eb="16">
      <t>ベット</t>
    </rPh>
    <rPh sb="16" eb="18">
      <t>ジュンビ</t>
    </rPh>
    <rPh sb="20" eb="21">
      <t>ホウ</t>
    </rPh>
    <rPh sb="25" eb="28">
      <t>ハンバイテン</t>
    </rPh>
    <rPh sb="28" eb="29">
      <t>ム</t>
    </rPh>
    <phoneticPr fontId="2"/>
  </si>
  <si>
    <t>安全</t>
    <rPh sb="0" eb="2">
      <t>アンゼン</t>
    </rPh>
    <phoneticPr fontId="2"/>
  </si>
  <si>
    <t>車両保護</t>
    <rPh sb="0" eb="2">
      <t>シャリョウ</t>
    </rPh>
    <rPh sb="2" eb="4">
      <t>ホゴ</t>
    </rPh>
    <phoneticPr fontId="2"/>
  </si>
  <si>
    <t>車両保護</t>
    <rPh sb="0" eb="4">
      <t>シャリョウホゴ</t>
    </rPh>
    <phoneticPr fontId="2"/>
  </si>
  <si>
    <t>使い方</t>
    <rPh sb="0" eb="1">
      <t>ツカ</t>
    </rPh>
    <rPh sb="2" eb="3">
      <t>カタ</t>
    </rPh>
    <phoneticPr fontId="2"/>
  </si>
  <si>
    <t>Leanに特化した特異な手順があるのであれば検討必要
A/CやP/Wの操作説明は必要(C-POD参考？)</t>
    <rPh sb="35" eb="37">
      <t>ソウサ</t>
    </rPh>
    <rPh sb="37" eb="39">
      <t>セツメイ</t>
    </rPh>
    <rPh sb="40" eb="42">
      <t>ヒツヨウ</t>
    </rPh>
    <rPh sb="48" eb="50">
      <t>サンコウ</t>
    </rPh>
    <phoneticPr fontId="2"/>
  </si>
  <si>
    <t>安全
車両保護</t>
    <rPh sb="0" eb="2">
      <t>アンゼン</t>
    </rPh>
    <rPh sb="3" eb="7">
      <t>シャリョウホゴ</t>
    </rPh>
    <phoneticPr fontId="2"/>
  </si>
  <si>
    <t>使い方
操作</t>
    <rPh sb="0" eb="1">
      <t>ツカ</t>
    </rPh>
    <rPh sb="2" eb="3">
      <t>カタ</t>
    </rPh>
    <rPh sb="4" eb="6">
      <t>ソウサ</t>
    </rPh>
    <phoneticPr fontId="2"/>
  </si>
  <si>
    <t>操作</t>
    <rPh sb="0" eb="2">
      <t>ソウサ</t>
    </rPh>
    <phoneticPr fontId="2"/>
  </si>
  <si>
    <t>操作</t>
    <phoneticPr fontId="2"/>
  </si>
  <si>
    <t>要素</t>
    <rPh sb="0" eb="2">
      <t>ヨウソ</t>
    </rPh>
    <phoneticPr fontId="2"/>
  </si>
  <si>
    <t>アプリの場合でもINDEXは必要</t>
    <rPh sb="4" eb="6">
      <t>バアイ</t>
    </rPh>
    <rPh sb="14" eb="16">
      <t>ヒツヨウ</t>
    </rPh>
    <phoneticPr fontId="2"/>
  </si>
  <si>
    <t>アプリの場合でも外観・配置図から説明のところにリンクで飛ぶ仕組み</t>
    <rPh sb="4" eb="6">
      <t>バアイ</t>
    </rPh>
    <rPh sb="8" eb="10">
      <t>ガイカン</t>
    </rPh>
    <rPh sb="11" eb="13">
      <t>ハイチ</t>
    </rPh>
    <rPh sb="13" eb="14">
      <t>ズ</t>
    </rPh>
    <rPh sb="16" eb="18">
      <t>セツメイ</t>
    </rPh>
    <rPh sb="27" eb="28">
      <t>ト</t>
    </rPh>
    <rPh sb="29" eb="31">
      <t>シク</t>
    </rPh>
    <phoneticPr fontId="2"/>
  </si>
  <si>
    <t>項目</t>
  </si>
  <si>
    <t>TOYOTA-COMS</t>
  </si>
  <si>
    <t>Lean Mobility-Lean3</t>
  </si>
  <si>
    <t>安全装備</t>
  </si>
  <si>
    <t>3点式シートベルト</t>
  </si>
  <si>
    <t>3点式シートベルト（ELR）</t>
  </si>
  <si>
    <t>車両接近通報装置（EV音）</t>
  </si>
  <si>
    <t>ISOFIX対応（チャイルドシート可）</t>
  </si>
  <si>
    <t>※法規影響あり、確認要</t>
  </si>
  <si>
    <t>駆動</t>
  </si>
  <si>
    <t>4輪</t>
  </si>
  <si>
    <t>3輪（前2・後1）</t>
  </si>
  <si>
    <t>（前2輪操舵＋後輪駆動）</t>
  </si>
  <si>
    <t>インホイールモーター採用</t>
  </si>
  <si>
    <t>※インホイールモーター牽引できるか？</t>
  </si>
  <si>
    <t>※インホイールモーターに関する説明は必要か？</t>
  </si>
  <si>
    <t>キャンバスドア</t>
  </si>
  <si>
    <t>※説明が大きく異なる</t>
  </si>
  <si>
    <r>
      <t>密閉キャビン⇒</t>
    </r>
    <r>
      <rPr>
        <sz val="11"/>
        <color rgb="FF1E53A3"/>
        <rFont val="ＭＳ Ｐゴシック"/>
        <family val="3"/>
        <charset val="128"/>
        <scheme val="minor"/>
      </rPr>
      <t>ドアあり</t>
    </r>
  </si>
  <si>
    <t>エアコン</t>
  </si>
  <si>
    <t>パワーウインドウ</t>
  </si>
  <si>
    <t>ペットボトルホルダー</t>
  </si>
  <si>
    <t>USB Type-C</t>
  </si>
  <si>
    <t>充電機能</t>
  </si>
  <si>
    <t>家庭用100V</t>
  </si>
  <si>
    <r>
      <t xml:space="preserve">家庭用100V / </t>
    </r>
    <r>
      <rPr>
        <sz val="11"/>
        <color rgb="FF1E53A3"/>
        <rFont val="ＭＳ Ｐゴシック"/>
        <family val="3"/>
        <charset val="128"/>
        <scheme val="minor"/>
      </rPr>
      <t>200V</t>
    </r>
  </si>
  <si>
    <t>外部充電インレットあり</t>
  </si>
  <si>
    <t>※取り扱い方法、充電時間などの説明が必要になる</t>
  </si>
  <si>
    <t>性能</t>
  </si>
  <si>
    <t>-</t>
  </si>
  <si>
    <t>小回り性能（最小回転半径3.6m）</t>
  </si>
  <si>
    <t>※小回り性能は売り、ただし小回りに関する注意事項は必要か？</t>
  </si>
  <si>
    <t>システム</t>
  </si>
  <si>
    <t>アクティブ・リーン・システム</t>
  </si>
  <si>
    <t>車体がバイクのように傾く</t>
  </si>
  <si>
    <t>※車体を最大約28°傾ける制御</t>
  </si>
  <si>
    <t>※コーナリング時に自動で傾斜制御</t>
  </si>
  <si>
    <t>※アクティブ・リーンによる転倒防止</t>
  </si>
  <si>
    <t>荒れた路面でも安定</t>
  </si>
  <si>
    <t>※路面状況に応じて安定化</t>
  </si>
  <si>
    <t>※バイクに近いため、２輪のベンチマークが必要かもしれません</t>
  </si>
  <si>
    <t>乗車定員</t>
  </si>
  <si>
    <t>1名</t>
  </si>
  <si>
    <t>1〜2名（日本は基本1名）</t>
  </si>
  <si>
    <t>最高速度</t>
  </si>
  <si>
    <t>約60km/h</t>
  </si>
  <si>
    <t>60〜80km/h</t>
  </si>
  <si>
    <t>航続距離</t>
  </si>
  <si>
    <t>約50km前後</t>
  </si>
  <si>
    <t>約100km</t>
  </si>
  <si>
    <t>尾野質問</t>
    <rPh sb="0" eb="2">
      <t>オノ</t>
    </rPh>
    <rPh sb="2" eb="4">
      <t>シツモン</t>
    </rPh>
    <phoneticPr fontId="2"/>
  </si>
  <si>
    <t>このような場合、T社だと○○の記載を入れていると提示できますか？
また、今回はT社軸ではなく、Lean Mobility社軸をつくることが重要ですので、法的にここまでの情報は載せておくべきというような提言ができるといいのですが。。</t>
    <rPh sb="5" eb="7">
      <t>バアイ</t>
    </rPh>
    <rPh sb="9" eb="10">
      <t>シャ</t>
    </rPh>
    <rPh sb="15" eb="17">
      <t>キサイ</t>
    </rPh>
    <rPh sb="18" eb="19">
      <t>イ</t>
    </rPh>
    <rPh sb="24" eb="26">
      <t>テイジ</t>
    </rPh>
    <rPh sb="36" eb="38">
      <t>コンカイ</t>
    </rPh>
    <rPh sb="40" eb="41">
      <t>シャ</t>
    </rPh>
    <rPh sb="41" eb="42">
      <t>ジク</t>
    </rPh>
    <rPh sb="60" eb="61">
      <t>シャ</t>
    </rPh>
    <rPh sb="61" eb="62">
      <t>ジク</t>
    </rPh>
    <rPh sb="69" eb="71">
      <t>ジュウヨウ</t>
    </rPh>
    <rPh sb="76" eb="78">
      <t>ホウテキ</t>
    </rPh>
    <rPh sb="84" eb="86">
      <t>ジョウホウ</t>
    </rPh>
    <rPh sb="87" eb="88">
      <t>ノ</t>
    </rPh>
    <rPh sb="100" eb="102">
      <t>テイゲン</t>
    </rPh>
    <phoneticPr fontId="2"/>
  </si>
  <si>
    <t>基本的な操作、どこにあるかなどは必要かと思います</t>
    <rPh sb="0" eb="3">
      <t>キホンテキ</t>
    </rPh>
    <rPh sb="4" eb="6">
      <t>ソウサ</t>
    </rPh>
    <rPh sb="16" eb="18">
      <t>ヒツヨウ</t>
    </rPh>
    <rPh sb="20" eb="21">
      <t>オモ</t>
    </rPh>
    <phoneticPr fontId="2"/>
  </si>
  <si>
    <t>どこにあるかなどは必要かと思います</t>
    <rPh sb="9" eb="11">
      <t>ヒツヨウ</t>
    </rPh>
    <rPh sb="13" eb="14">
      <t>オモ</t>
    </rPh>
    <phoneticPr fontId="2"/>
  </si>
  <si>
    <t>ユーザー行動に影響すること、危険につながることは要記載と思います。</t>
    <rPh sb="4" eb="6">
      <t>コウドウ</t>
    </rPh>
    <rPh sb="7" eb="9">
      <t>エイキョウ</t>
    </rPh>
    <rPh sb="14" eb="16">
      <t>キケン</t>
    </rPh>
    <rPh sb="24" eb="27">
      <t>ヨウキサイ</t>
    </rPh>
    <rPh sb="28" eb="29">
      <t>オモ</t>
    </rPh>
    <phoneticPr fontId="2"/>
  </si>
  <si>
    <t>急ハンドル禁止
速度による挙動変化のようなことが必要？</t>
    <rPh sb="24" eb="26">
      <t>ヒツヨウ</t>
    </rPh>
    <phoneticPr fontId="2"/>
  </si>
  <si>
    <t>「カーブ時に車体が傾くことで安定した走行を支援します」
「ただし、状況によっては転倒する可能性があります」のようなイメージ？</t>
    <phoneticPr fontId="2"/>
  </si>
  <si>
    <t>台湾仕様の後席についてどの程度情報が必要か？</t>
    <rPh sb="0" eb="2">
      <t>タイワン</t>
    </rPh>
    <rPh sb="2" eb="4">
      <t>シヨウ</t>
    </rPh>
    <rPh sb="5" eb="7">
      <t>コウセキ</t>
    </rPh>
    <rPh sb="13" eb="15">
      <t>テイド</t>
    </rPh>
    <rPh sb="15" eb="17">
      <t>ジョウホウ</t>
    </rPh>
    <rPh sb="18" eb="20">
      <t>ヒツヨウ</t>
    </rPh>
    <phoneticPr fontId="2"/>
  </si>
  <si>
    <t>スマートキー</t>
    <phoneticPr fontId="2"/>
  </si>
  <si>
    <t>100Vと200V違い要確認</t>
    <rPh sb="9" eb="10">
      <t>チガ</t>
    </rPh>
    <rPh sb="11" eb="14">
      <t>ヨウカクニン</t>
    </rPh>
    <phoneticPr fontId="2"/>
  </si>
  <si>
    <t>台湾仕様</t>
    <rPh sb="0" eb="2">
      <t>タイワン</t>
    </rPh>
    <rPh sb="2" eb="4">
      <t>シヨウ</t>
    </rPh>
    <phoneticPr fontId="2"/>
  </si>
  <si>
    <t>ユーザー向けに必要な情報は残すべき</t>
    <rPh sb="4" eb="5">
      <t>ム</t>
    </rPh>
    <rPh sb="7" eb="9">
      <t>ヒツヨウ</t>
    </rPh>
    <rPh sb="10" eb="12">
      <t>ジョウホウ</t>
    </rPh>
    <rPh sb="13" eb="14">
      <t>ノコ</t>
    </rPh>
    <phoneticPr fontId="2"/>
  </si>
  <si>
    <t>LMさま判断</t>
    <rPh sb="4" eb="6">
      <t>ハンダン</t>
    </rPh>
    <phoneticPr fontId="2"/>
  </si>
  <si>
    <t>Lean Mobility様に要確認かと思います。ただユーザーが牽引するシーンがないなら牽引する人向けに情報を作らなければいけない？（ロードサービス系？）</t>
    <rPh sb="13" eb="14">
      <t>サマ</t>
    </rPh>
    <rPh sb="15" eb="18">
      <t>ヨウカクニン</t>
    </rPh>
    <rPh sb="20" eb="21">
      <t>オモ</t>
    </rPh>
    <rPh sb="32" eb="34">
      <t>ケンイン</t>
    </rPh>
    <rPh sb="44" eb="46">
      <t>ケンイン</t>
    </rPh>
    <rPh sb="48" eb="50">
      <t>ヒトム</t>
    </rPh>
    <rPh sb="52" eb="54">
      <t>ジョウホウ</t>
    </rPh>
    <rPh sb="55" eb="56">
      <t>ツク</t>
    </rPh>
    <rPh sb="74" eb="75">
      <t>ケイ</t>
    </rPh>
    <phoneticPr fontId="2"/>
  </si>
  <si>
    <t>Leanさま側で要件があれば必要、壊れるとかなければマストではないかも</t>
    <rPh sb="6" eb="7">
      <t>ガワ</t>
    </rPh>
    <rPh sb="8" eb="10">
      <t>ヨウケン</t>
    </rPh>
    <rPh sb="14" eb="16">
      <t>ヒツヨウ</t>
    </rPh>
    <rPh sb="17" eb="18">
      <t>コワ</t>
    </rPh>
    <phoneticPr fontId="2"/>
  </si>
  <si>
    <t>物理キー</t>
    <rPh sb="0" eb="2">
      <t>ブツリ</t>
    </rPh>
    <phoneticPr fontId="2"/>
  </si>
  <si>
    <t>ハンドル</t>
    <phoneticPr fontId="2"/>
  </si>
  <si>
    <t>ステアバイワイヤ？</t>
    <phoneticPr fontId="2"/>
  </si>
  <si>
    <t>COMSとの仕様差を整理するための情報をご提供いただきたい</t>
    <rPh sb="6" eb="9">
      <t>シヨウサ</t>
    </rPh>
    <rPh sb="10" eb="12">
      <t>セイリ</t>
    </rPh>
    <rPh sb="17" eb="19">
      <t>ジョウホウ</t>
    </rPh>
    <rPh sb="21" eb="23">
      <t>テイキョウ</t>
    </rPh>
    <phoneticPr fontId="2"/>
  </si>
  <si>
    <t>Lean3情報取得</t>
    <rPh sb="5" eb="7">
      <t>ジョウホウ</t>
    </rPh>
    <rPh sb="7" eb="9">
      <t>シュトク</t>
    </rPh>
    <phoneticPr fontId="2"/>
  </si>
  <si>
    <t>差分分析　VS COMS</t>
    <rPh sb="0" eb="2">
      <t>サブン</t>
    </rPh>
    <rPh sb="2" eb="4">
      <t>ブンセキ</t>
    </rPh>
    <phoneticPr fontId="2"/>
  </si>
  <si>
    <t>構成設計</t>
    <rPh sb="0" eb="4">
      <t>コウセイセッケイ</t>
    </rPh>
    <phoneticPr fontId="2"/>
  </si>
  <si>
    <t>原稿作成</t>
    <rPh sb="0" eb="4">
      <t>ゲンコウサクセイ</t>
    </rPh>
    <phoneticPr fontId="2"/>
  </si>
  <si>
    <t>レビュー</t>
    <phoneticPr fontId="2"/>
  </si>
  <si>
    <t>最終調整</t>
    <rPh sb="0" eb="4">
      <t>サイシュウチョウセイ</t>
    </rPh>
    <phoneticPr fontId="2"/>
  </si>
  <si>
    <t>納品</t>
    <rPh sb="0" eb="2">
      <t>ノウヒン</t>
    </rPh>
    <phoneticPr fontId="2"/>
  </si>
  <si>
    <t>４月</t>
    <rPh sb="1" eb="2">
      <t>ガツ</t>
    </rPh>
    <phoneticPr fontId="2"/>
  </si>
  <si>
    <t>５月</t>
    <rPh sb="1" eb="2">
      <t>ガツ</t>
    </rPh>
    <phoneticPr fontId="2"/>
  </si>
  <si>
    <t>６月</t>
    <rPh sb="1" eb="2">
      <t>ガツ</t>
    </rPh>
    <phoneticPr fontId="2"/>
  </si>
  <si>
    <t>７月</t>
    <rPh sb="1" eb="2">
      <t>ガツ</t>
    </rPh>
    <phoneticPr fontId="2"/>
  </si>
  <si>
    <t>水</t>
  </si>
  <si>
    <t>水</t>
    <rPh sb="0" eb="1">
      <t>スイ</t>
    </rPh>
    <phoneticPr fontId="2"/>
  </si>
  <si>
    <t>木</t>
  </si>
  <si>
    <t>木</t>
    <rPh sb="0" eb="1">
      <t>モク</t>
    </rPh>
    <phoneticPr fontId="2"/>
  </si>
  <si>
    <t>金</t>
  </si>
  <si>
    <t>土</t>
  </si>
  <si>
    <t>日</t>
  </si>
  <si>
    <t>月</t>
  </si>
  <si>
    <t>火</t>
  </si>
  <si>
    <t>ご確認</t>
    <rPh sb="1" eb="3">
      <t>カクニン</t>
    </rPh>
    <phoneticPr fontId="2"/>
  </si>
  <si>
    <t>COMSとの差分情報の提供
■ 必須情報
車両仕様書（スペック）
機能一覧
新規機能の詳細
廃止機能
使用環境条件</t>
    <phoneticPr fontId="2"/>
  </si>
  <si>
    <t>| ① そのまま使う | COMS流用 |
| ② 修正する   | 差分あり   |
| ③ 新規追加   | 新機能    |</t>
    <phoneticPr fontId="2"/>
  </si>
  <si>
    <t>| 判断        | 内容       |
| 必須（法規・安全） | 削れない     |
| 必要（UX）    | 価値として入れる |
| 不要        | 削除       |</t>
    <phoneticPr fontId="2"/>
  </si>
  <si>
    <t>章立て整理
情報の再配置
重複排除</t>
    <phoneticPr fontId="2"/>
  </si>
  <si>
    <t>文章作成
図版作成
注意文作成</t>
    <phoneticPr fontId="2"/>
  </si>
  <si>
    <t>技術整合性
法規適合性
表現妥当性</t>
    <phoneticPr fontId="2"/>
  </si>
  <si>
    <t>微修正、レイアウト</t>
    <rPh sb="0" eb="3">
      <t>ビシュウセイ</t>
    </rPh>
    <phoneticPr fontId="2"/>
  </si>
  <si>
    <t>原稿作成①</t>
    <rPh sb="0" eb="4">
      <t>ゲンコウサクセイ</t>
    </rPh>
    <phoneticPr fontId="2"/>
  </si>
  <si>
    <t>原稿作成②</t>
    <rPh sb="0" eb="4">
      <t>ゲンコウサクセイ</t>
    </rPh>
    <phoneticPr fontId="2"/>
  </si>
  <si>
    <t>原稿作成③</t>
    <rPh sb="0" eb="4">
      <t>ゲンコウサクセイ</t>
    </rPh>
    <phoneticPr fontId="2"/>
  </si>
  <si>
    <t>原稿作成④</t>
    <rPh sb="0" eb="4">
      <t>ゲンコウサクセイ</t>
    </rPh>
    <phoneticPr fontId="2"/>
  </si>
  <si>
    <t>データ納品</t>
    <rPh sb="3" eb="5">
      <t>ノウヒン</t>
    </rPh>
    <phoneticPr fontId="2"/>
  </si>
  <si>
    <t>予備</t>
    <rPh sb="0" eb="2">
      <t>ヨビ</t>
    </rPh>
    <phoneticPr fontId="2"/>
  </si>
  <si>
    <t>LM様</t>
    <rPh sb="2" eb="3">
      <t>サマ</t>
    </rPh>
    <phoneticPr fontId="2"/>
  </si>
  <si>
    <t>CMC</t>
    <phoneticPr fontId="2"/>
  </si>
  <si>
    <t>記載判断(法規・UX)</t>
    <rPh sb="0" eb="4">
      <t>キサイハンダン</t>
    </rPh>
    <rPh sb="5" eb="7">
      <t>ホウキ</t>
    </rPh>
    <phoneticPr fontId="2"/>
  </si>
  <si>
    <t>マイルストーン</t>
    <phoneticPr fontId="2"/>
  </si>
  <si>
    <t>Apr</t>
    <phoneticPr fontId="2"/>
  </si>
  <si>
    <t>May</t>
    <phoneticPr fontId="2"/>
  </si>
  <si>
    <t>Jun</t>
    <phoneticPr fontId="2"/>
  </si>
  <si>
    <t>Jul</t>
    <phoneticPr fontId="2"/>
  </si>
  <si>
    <t>Aug</t>
    <phoneticPr fontId="2"/>
  </si>
  <si>
    <t>Sep</t>
    <phoneticPr fontId="2"/>
  </si>
  <si>
    <t>1w</t>
    <phoneticPr fontId="2"/>
  </si>
  <si>
    <t>2w</t>
  </si>
  <si>
    <t>3w</t>
  </si>
  <si>
    <t>4w</t>
  </si>
  <si>
    <t>5w</t>
  </si>
  <si>
    <t>Lean Mobility様</t>
    <rPh sb="13" eb="14">
      <t>サマ</t>
    </rPh>
    <phoneticPr fontId="2"/>
  </si>
  <si>
    <t>Autobacs様</t>
    <rPh sb="8" eb="9">
      <t>サマ</t>
    </rPh>
    <phoneticPr fontId="2"/>
  </si>
  <si>
    <t>ページ数</t>
  </si>
  <si>
    <t>ハンドル調整</t>
  </si>
  <si>
    <t>No</t>
  </si>
  <si>
    <t>項目名</t>
  </si>
  <si>
    <t>COМSの仕様</t>
  </si>
  <si>
    <t>Lean3の仕様</t>
  </si>
  <si>
    <t>削除する内容</t>
  </si>
  <si>
    <t>備考</t>
  </si>
  <si>
    <t>布製のキャンバスドア（開閉式）、ファスナー操作が必要</t>
  </si>
  <si>
    <t>密閉キャビン⇒ハードドアあり（通常の自動車ドア）</t>
  </si>
  <si>
    <t>キャンバスドアの開閉手順、ファスナー操作方法、キャンバス素材のメンテナンス</t>
  </si>
  <si>
    <t>COМSマニュアルp.35付近（快適装備）</t>
  </si>
  <si>
    <t>リヤデッキ（後部荷台）</t>
  </si>
  <si>
    <t>後部に荷台（リヤデッキ）あり、積載制限、固定方法の説明</t>
  </si>
  <si>
    <t>フル密閉キャビン、後部荷台なし、室内収納のみ</t>
  </si>
  <si>
    <t>リヤデッキの使用方法、積載制限の説明、荷物固定方法</t>
  </si>
  <si>
    <t>COМSマニュアルp.35付近（収納装備）</t>
  </si>
  <si>
    <t>電球（バルブ）交換</t>
  </si>
  <si>
    <t>ユーザー交換可能な電球、交換手順、電球型番、購入方法</t>
  </si>
  <si>
    <t>LED一体型ヘッドライト・テールライト、ユーザー交換不可、サービス対応のみ</t>
  </si>
  <si>
    <t>電球交換の手順、工具の使い方、電球型番一覧</t>
  </si>
  <si>
    <t>COМSマニュアルp.67（評価一覧では「不要候補」）</t>
  </si>
  <si>
    <t>物理キー（通常キー）</t>
  </si>
  <si>
    <t>通常キー（金属製の物理キー）、キーの複製方法、スペアキー管理</t>
  </si>
  <si>
    <t>スマートキー（電子キー方式）、施錠・解錠が自動化</t>
  </si>
  <si>
    <t>物理キーの使用方法（部分的）、キー複製の案内</t>
  </si>
  <si>
    <t>COМSマニュアル複数箇所に分散</t>
  </si>
  <si>
    <t>ハンドル（機械式ステアリング）、ハンドル位置調整方法</t>
  </si>
  <si>
    <t>ステアバイワイヤ方式、機械式とは異なる操舵感</t>
  </si>
  <si>
    <t>ハンドル調整方法（該当する場合）</t>
  </si>
  <si>
    <t>COМSマニュアル操作装置セクション</t>
  </si>
  <si>
    <t>ユーザーによるタイヤ交換を想定、ジャッキアップポイント、手順</t>
  </si>
  <si>
    <t>スペア交換より救援前提、ユーザー交換は想定しない</t>
  </si>
  <si>
    <t>ジャッキアップ手順、タイヤ交換手順</t>
  </si>
  <si>
    <t>COМSマニュアルp.77（評価一覧では「不要候補」）</t>
  </si>
  <si>
    <t>追加する内容</t>
  </si>
  <si>
    <t>Active Lean Technology（車体傾斜システム）</t>
  </si>
  <si>
    <t>該当なし</t>
  </si>
  <si>
    <t>車体が最大28度傾く独自技術、コーナリング時に自動制御、転倒防止機能</t>
  </si>
  <si>
    <t>仕組みの詳細説明、動作条件（速度・カーブ角度）、安全な使用方法、図解・イラスト、転倒防止機能の説明</t>
  </si>
  <si>
    <t>最重要項目、図解・動画必須</t>
  </si>
  <si>
    <t>200V充電対応</t>
  </si>
  <si>
    <t>家庭用100Vのみ</t>
  </si>
  <si>
    <t>家庭用100V / 200V両対応、充電時間が大幅短縮</t>
  </si>
  <si>
    <t>100Vと200Vの充電時間比較表、200V接続手順、コネクタ図解、安全注意事項、外部充電インレットの説明</t>
  </si>
  <si>
    <t>ユーザー利便性向上の重要項目</t>
  </si>
  <si>
    <t>5インチデジタルメーター（タッチディスプレイ）</t>
  </si>
  <si>
    <t>アナログメーター</t>
  </si>
  <si>
    <t>5インチタッチディスプレイ、各種設定変更可能、充電状況・航続距離表示</t>
  </si>
  <si>
    <t>UI操作ガイド（タッチ操作）、各表示の意味（アイコン説明）、設定変更方法、スクリーンショット付き手順</t>
  </si>
  <si>
    <t>操作の基本、スクリーンショット多用</t>
  </si>
  <si>
    <t>フルキャビン構造（密閉型）</t>
  </si>
  <si>
    <t>キャンバスドア（半開放型）</t>
  </si>
  <si>
    <t>フル密閉キャビン、エアコン・パワーウインドウ搭載</t>
  </si>
  <si>
    <t>エアコン操作方法（冷房・暖房）、パワーウインドウ操作、換気の重要性、密閉時の注意事項（換気不足の危険）</t>
  </si>
  <si>
    <t>安全面での注意喚起が重要</t>
  </si>
  <si>
    <t>LFPバッテリー管理</t>
  </si>
  <si>
    <t>鉛蓄電池</t>
  </si>
  <si>
    <t>LFP（リン酸鉄リチウム）電池、長寿命、特有の管理方法</t>
  </si>
  <si>
    <t>長期保管時の推奨SOC（50～80%）、寒冷地での性能特性、充電ガイドライン、満充電保管の回避</t>
  </si>
  <si>
    <t>バッテリー寿命に直結する重要情報</t>
  </si>
  <si>
    <t>インホイールモーター特性</t>
  </si>
  <si>
    <t>通常のモーター配置</t>
  </si>
  <si>
    <t>前2輪にインホイールモーター搭載、後1輪は駆動なし</t>
  </si>
  <si>
    <t>駆動方式の説明（前輪駆動）、メンテナンス不要の利点、走行感覚の説明</t>
  </si>
  <si>
    <t>ユーザーが意識する場面は少ない</t>
  </si>
  <si>
    <t>最小回転半径データなし（参考値）</t>
  </si>
  <si>
    <t>最小回転半径3.6m、優れた取り回し性</t>
  </si>
  <si>
    <t>取り回し性の説明（都市部での利点）、狭い道での運転方法、Uターン時の注意</t>
  </si>
  <si>
    <t>都市利用の訴求ポイント</t>
  </si>
  <si>
    <t>スマートキー操作</t>
  </si>
  <si>
    <t>スマートキー（電子キー）、近接自動解錠</t>
  </si>
  <si>
    <t>施錠・解錠方法（自動・手動）、スマートキーのバッテリー交換、電池切れ時の対応</t>
  </si>
  <si>
    <t>物理キー削除分を置き換え</t>
  </si>
  <si>
    <t>ステアバイワイヤ方式</t>
  </si>
  <si>
    <t>機械式ステアリング（ハンドル）</t>
  </si>
  <si>
    <t>ステアバイワイヤ（電気信号による操舵）</t>
  </si>
  <si>
    <t>操舵感の説明、従来のハンドルとの違い、メリット（車体傾斜との連携）</t>
  </si>
  <si>
    <t>ハンドル削除分を置き換え</t>
  </si>
  <si>
    <t>その他Lean3特有機能（快適装備）</t>
  </si>
  <si>
    <t>USB Type-C、ペットボトルホルダー、Bluetooth接続</t>
  </si>
  <si>
    <t>USB Type-C充電方法、ペットボトルホルダー位置、Bluetooth接続手順（スマホ連携）</t>
  </si>
  <si>
    <t>快適装備の詳細</t>
  </si>
  <si>
    <t>その他Lean3特有機能（性能）</t>
  </si>
  <si>
    <t>最高速度60km/h、航続距離約50km</t>
  </si>
  <si>
    <t>最高速度60～80km/h、航続距離約100km（WLTC: 8.1kWh/100km）</t>
  </si>
  <si>
    <t>最高速度の説明、航続距離の詳細（走行条件別）、エネルギー効率の説明</t>
  </si>
  <si>
    <t>性能訴求の重要データ</t>
  </si>
  <si>
    <t>その他Lean3特有機能（安全装備）</t>
  </si>
  <si>
    <t>シートベルト（基本）</t>
  </si>
  <si>
    <t>3点式シートベルト（ELR付き）、車両接近通報装置（EV音）</t>
  </si>
  <si>
    <t>ELR付きシートベルトの説明、車両接近通報装置の動作（歩行者保護）</t>
  </si>
  <si>
    <t>法規対応の安全装備</t>
  </si>
  <si>
    <t>その他Lean3特有機能（乗車定員）</t>
  </si>
  <si>
    <t>1～2名（日本は基本1名、仕様確定待ち）</t>
  </si>
  <si>
    <t>乗車定員の説明、2名乗車時の注意事項（該当する場合）</t>
  </si>
  <si>
    <t>仕様確定次第、内容調整</t>
  </si>
  <si>
    <t>プッシュ式シフト</t>
  </si>
  <si>
    <t>通常のシフトレバー</t>
  </si>
  <si>
    <t>プッシュ式シフト（ボタン操作）</t>
  </si>
  <si>
    <t>プッシュ式シフトの操作方法、D/R/N/Pの切り替え手順</t>
  </si>
  <si>
    <t>運転操作の基本</t>
  </si>
  <si>
    <t>その他細かい仕様差</t>
  </si>
  <si>
    <t>その他COМSとの細かい仕様差（グレード設定、オプション装備など）</t>
  </si>
  <si>
    <t>予備枠</t>
  </si>
  <si>
    <t>COMS</t>
    <phoneticPr fontId="2"/>
  </si>
  <si>
    <t>ページ</t>
    <phoneticPr fontId="2"/>
  </si>
  <si>
    <t>削除</t>
    <rPh sb="0" eb="2">
      <t>サクジョ</t>
    </rPh>
    <phoneticPr fontId="2"/>
  </si>
  <si>
    <t>追加</t>
    <rPh sb="0" eb="2">
      <t>ツイカ</t>
    </rPh>
    <phoneticPr fontId="2"/>
  </si>
  <si>
    <t>Lean3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</si>
</sst>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color theme="1"/>
      <name val="ＭＳ Ｐゴシック"/>
      <family val="3"/>
      <charset val="128"/>
      <scheme val="minor"/>
    </font>
    <font>
      <sz val="11"/>
      <color rgb="FF1E53A3"/>
      <name val="ＭＳ Ｐゴシック"/>
      <family val="3"/>
      <charset val="128"/>
      <scheme val="minor"/>
    </font>
    <font>
      <sz val="11"/>
      <color rgb="FFCD5937"/>
      <name val="ＭＳ Ｐゴシック"/>
      <family val="3"/>
      <charset val="128"/>
      <scheme val="minor"/>
    </font>
    <font>
      <sz val="11"/>
      <color theme="0"/>
      <name val="ＭＳ Ｐゴシック"/>
      <family val="2"/>
      <scheme val="minor"/>
    </font>
  </fonts>
  <fills count="13">
    <fill>
      <patternFill patternType="none"/>
    </fill>
    <fill>
      <patternFill patternType="gray125"/>
    </fill>
    <fill>
      <patternFill patternType="solid">
        <fgColor rgb="FFD9EAF7"/>
      </patternFill>
    </fill>
    <fill>
      <patternFill patternType="solid">
        <fgColor rgb="FFF7F9FB"/>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bgColor indexed="64"/>
      </patternFill>
    </fill>
    <fill>
      <patternFill patternType="solid">
        <fgColor theme="9" tint="0.7999816888943144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1" fillId="4" borderId="0" xfId="0" applyFont="1" applyFill="1" applyAlignment="1">
      <alignment horizontal="center" vertical="center" wrapText="1"/>
    </xf>
    <xf numFmtId="0" fontId="0" fillId="5" borderId="0" xfId="0" applyFill="1" applyAlignment="1">
      <alignment vertical="top" wrapText="1"/>
    </xf>
    <xf numFmtId="0" fontId="0" fillId="6" borderId="0" xfId="0" applyFill="1" applyAlignment="1">
      <alignment vertical="top" wrapText="1"/>
    </xf>
    <xf numFmtId="0" fontId="0" fillId="4"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0" borderId="0" xfId="0" applyAlignment="1">
      <alignment wrapText="1"/>
    </xf>
    <xf numFmtId="0" fontId="3"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xf>
    <xf numFmtId="0" fontId="0" fillId="9" borderId="0" xfId="0" applyFill="1"/>
    <xf numFmtId="0" fontId="0" fillId="10" borderId="0" xfId="0" applyFill="1"/>
    <xf numFmtId="0" fontId="0" fillId="11" borderId="0" xfId="0" applyFill="1"/>
    <xf numFmtId="0" fontId="0" fillId="6" borderId="0" xfId="0" applyFill="1"/>
    <xf numFmtId="0" fontId="0" fillId="11" borderId="0" xfId="0" applyFill="1" applyAlignment="1">
      <alignment vertical="center"/>
    </xf>
    <xf numFmtId="0" fontId="0" fillId="10" borderId="0" xfId="0" applyFill="1" applyAlignment="1">
      <alignment vertical="center"/>
    </xf>
    <xf numFmtId="0" fontId="0" fillId="5" borderId="0" xfId="0" applyFill="1" applyAlignment="1">
      <alignment vertical="center"/>
    </xf>
    <xf numFmtId="0" fontId="6" fillId="11" borderId="0" xfId="0" applyFont="1" applyFill="1" applyAlignment="1">
      <alignment vertical="center"/>
    </xf>
    <xf numFmtId="0" fontId="0" fillId="0" borderId="4" xfId="0" applyBorder="1"/>
    <xf numFmtId="0" fontId="0" fillId="0" borderId="5" xfId="0" applyBorder="1"/>
    <xf numFmtId="0" fontId="0" fillId="0" borderId="6" xfId="0" applyBorder="1"/>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10" xfId="0" applyBorder="1"/>
    <xf numFmtId="0" fontId="0" fillId="0" borderId="11" xfId="0" applyBorder="1"/>
    <xf numFmtId="0" fontId="0" fillId="12" borderId="0" xfId="0" applyFill="1"/>
    <xf numFmtId="0" fontId="0" fillId="4" borderId="0" xfId="0" applyFill="1"/>
    <xf numFmtId="0" fontId="3" fillId="10" borderId="0" xfId="0" applyFont="1" applyFill="1"/>
    <xf numFmtId="0" fontId="3" fillId="12" borderId="0" xfId="0" applyFont="1" applyFill="1"/>
    <xf numFmtId="0" fontId="0" fillId="0" borderId="0" xfId="0" applyAlignment="1">
      <alignment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標準" xfId="0" builtinId="0"/>
  </cellStyles>
  <dxfs count="1">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295274</xdr:colOff>
      <xdr:row>2</xdr:row>
      <xdr:rowOff>1308099</xdr:rowOff>
    </xdr:from>
    <xdr:to>
      <xdr:col>8</xdr:col>
      <xdr:colOff>8549</xdr:colOff>
      <xdr:row>2</xdr:row>
      <xdr:rowOff>1484924</xdr:rowOff>
    </xdr:to>
    <xdr:sp macro="" textlink="">
      <xdr:nvSpPr>
        <xdr:cNvPr id="2" name="星: 5 pt 1">
          <a:extLst>
            <a:ext uri="{FF2B5EF4-FFF2-40B4-BE49-F238E27FC236}">
              <a16:creationId xmlns:a16="http://schemas.microsoft.com/office/drawing/2014/main" id="{D47FC650-4387-CA4D-AA2A-0475186A02AC}"/>
            </a:ext>
          </a:extLst>
        </xdr:cNvPr>
        <xdr:cNvSpPr/>
      </xdr:nvSpPr>
      <xdr:spPr>
        <a:xfrm>
          <a:off x="4114799" y="1631949"/>
          <a:ext cx="180000" cy="17682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339725</xdr:colOff>
      <xdr:row>2</xdr:row>
      <xdr:rowOff>1003299</xdr:rowOff>
    </xdr:from>
    <xdr:to>
      <xdr:col>9</xdr:col>
      <xdr:colOff>371475</xdr:colOff>
      <xdr:row>2</xdr:row>
      <xdr:rowOff>1317624</xdr:rowOff>
    </xdr:to>
    <xdr:sp macro="" textlink="">
      <xdr:nvSpPr>
        <xdr:cNvPr id="3" name="テキスト ボックス 2">
          <a:extLst>
            <a:ext uri="{FF2B5EF4-FFF2-40B4-BE49-F238E27FC236}">
              <a16:creationId xmlns:a16="http://schemas.microsoft.com/office/drawing/2014/main" id="{6AB75215-906F-1C1F-0AF5-FE60E3A130B6}"/>
            </a:ext>
          </a:extLst>
        </xdr:cNvPr>
        <xdr:cNvSpPr txBox="1"/>
      </xdr:nvSpPr>
      <xdr:spPr>
        <a:xfrm>
          <a:off x="3692525" y="1327149"/>
          <a:ext cx="1431925"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記載レベル方針決め</a:t>
          </a:r>
        </a:p>
      </xdr:txBody>
    </xdr:sp>
    <xdr:clientData/>
  </xdr:twoCellAnchor>
  <xdr:twoCellAnchor>
    <xdr:from>
      <xdr:col>4</xdr:col>
      <xdr:colOff>47625</xdr:colOff>
      <xdr:row>2</xdr:row>
      <xdr:rowOff>901700</xdr:rowOff>
    </xdr:from>
    <xdr:to>
      <xdr:col>5</xdr:col>
      <xdr:colOff>434975</xdr:colOff>
      <xdr:row>2</xdr:row>
      <xdr:rowOff>901700</xdr:rowOff>
    </xdr:to>
    <xdr:cxnSp macro="">
      <xdr:nvCxnSpPr>
        <xdr:cNvPr id="5" name="直線矢印コネクタ 4">
          <a:extLst>
            <a:ext uri="{FF2B5EF4-FFF2-40B4-BE49-F238E27FC236}">
              <a16:creationId xmlns:a16="http://schemas.microsoft.com/office/drawing/2014/main" id="{1DF78BDA-DA37-2FD4-9141-C2F61FAF643F}"/>
            </a:ext>
          </a:extLst>
        </xdr:cNvPr>
        <xdr:cNvCxnSpPr/>
      </xdr:nvCxnSpPr>
      <xdr:spPr>
        <a:xfrm>
          <a:off x="2466975" y="1225550"/>
          <a:ext cx="8540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466724</xdr:colOff>
      <xdr:row>2</xdr:row>
      <xdr:rowOff>374649</xdr:rowOff>
    </xdr:from>
    <xdr:to>
      <xdr:col>6</xdr:col>
      <xdr:colOff>371474</xdr:colOff>
      <xdr:row>2</xdr:row>
      <xdr:rowOff>685799</xdr:rowOff>
    </xdr:to>
    <xdr:sp macro="" textlink="">
      <xdr:nvSpPr>
        <xdr:cNvPr id="7" name="テキスト ボックス 6">
          <a:extLst>
            <a:ext uri="{FF2B5EF4-FFF2-40B4-BE49-F238E27FC236}">
              <a16:creationId xmlns:a16="http://schemas.microsoft.com/office/drawing/2014/main" id="{28296787-22CF-CE83-83F5-6DCF8A9476E8}"/>
            </a:ext>
          </a:extLst>
        </xdr:cNvPr>
        <xdr:cNvSpPr txBox="1"/>
      </xdr:nvSpPr>
      <xdr:spPr>
        <a:xfrm>
          <a:off x="2419349" y="698499"/>
          <a:ext cx="1304925" cy="311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Lean3</a:t>
          </a:r>
          <a:r>
            <a:rPr kumimoji="1" lang="ja-JP" altLang="en-US" sz="1100"/>
            <a:t>情報ご提供</a:t>
          </a:r>
        </a:p>
      </xdr:txBody>
    </xdr:sp>
    <xdr:clientData/>
  </xdr:twoCellAnchor>
  <xdr:twoCellAnchor>
    <xdr:from>
      <xdr:col>8</xdr:col>
      <xdr:colOff>25400</xdr:colOff>
      <xdr:row>4</xdr:row>
      <xdr:rowOff>1066799</xdr:rowOff>
    </xdr:from>
    <xdr:to>
      <xdr:col>9</xdr:col>
      <xdr:colOff>454025</xdr:colOff>
      <xdr:row>4</xdr:row>
      <xdr:rowOff>1381124</xdr:rowOff>
    </xdr:to>
    <xdr:sp macro="" textlink="">
      <xdr:nvSpPr>
        <xdr:cNvPr id="8" name="テキスト ボックス 7">
          <a:extLst>
            <a:ext uri="{FF2B5EF4-FFF2-40B4-BE49-F238E27FC236}">
              <a16:creationId xmlns:a16="http://schemas.microsoft.com/office/drawing/2014/main" id="{63BEDCA2-6EFE-441F-435E-52EB6A44E269}"/>
            </a:ext>
          </a:extLst>
        </xdr:cNvPr>
        <xdr:cNvSpPr txBox="1"/>
      </xdr:nvSpPr>
      <xdr:spPr>
        <a:xfrm>
          <a:off x="4311650" y="4619624"/>
          <a:ext cx="895350"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調査・編集</a:t>
          </a:r>
        </a:p>
      </xdr:txBody>
    </xdr:sp>
    <xdr:clientData/>
  </xdr:twoCellAnchor>
  <xdr:twoCellAnchor>
    <xdr:from>
      <xdr:col>6</xdr:col>
      <xdr:colOff>57150</xdr:colOff>
      <xdr:row>4</xdr:row>
      <xdr:rowOff>971550</xdr:rowOff>
    </xdr:from>
    <xdr:to>
      <xdr:col>15</xdr:col>
      <xdr:colOff>180975</xdr:colOff>
      <xdr:row>4</xdr:row>
      <xdr:rowOff>971550</xdr:rowOff>
    </xdr:to>
    <xdr:cxnSp macro="">
      <xdr:nvCxnSpPr>
        <xdr:cNvPr id="9" name="直線矢印コネクタ 8">
          <a:extLst>
            <a:ext uri="{FF2B5EF4-FFF2-40B4-BE49-F238E27FC236}">
              <a16:creationId xmlns:a16="http://schemas.microsoft.com/office/drawing/2014/main" id="{04192847-ABF0-AFB3-B19F-7E239739080B}"/>
            </a:ext>
          </a:extLst>
        </xdr:cNvPr>
        <xdr:cNvCxnSpPr/>
      </xdr:nvCxnSpPr>
      <xdr:spPr>
        <a:xfrm>
          <a:off x="3409950" y="4514850"/>
          <a:ext cx="43243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203199</xdr:colOff>
      <xdr:row>4</xdr:row>
      <xdr:rowOff>812799</xdr:rowOff>
    </xdr:from>
    <xdr:to>
      <xdr:col>15</xdr:col>
      <xdr:colOff>383199</xdr:colOff>
      <xdr:row>4</xdr:row>
      <xdr:rowOff>989624</xdr:rowOff>
    </xdr:to>
    <xdr:sp macro="" textlink="">
      <xdr:nvSpPr>
        <xdr:cNvPr id="12" name="星: 5 pt 11">
          <a:extLst>
            <a:ext uri="{FF2B5EF4-FFF2-40B4-BE49-F238E27FC236}">
              <a16:creationId xmlns:a16="http://schemas.microsoft.com/office/drawing/2014/main" id="{C3906BAF-16E5-139B-07D5-881DEDB22E56}"/>
            </a:ext>
          </a:extLst>
        </xdr:cNvPr>
        <xdr:cNvSpPr/>
      </xdr:nvSpPr>
      <xdr:spPr>
        <a:xfrm>
          <a:off x="7756524" y="4356099"/>
          <a:ext cx="180000" cy="17682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3172</xdr:colOff>
      <xdr:row>2</xdr:row>
      <xdr:rowOff>1285874</xdr:rowOff>
    </xdr:from>
    <xdr:to>
      <xdr:col>11</xdr:col>
      <xdr:colOff>183172</xdr:colOff>
      <xdr:row>2</xdr:row>
      <xdr:rowOff>1469049</xdr:rowOff>
    </xdr:to>
    <xdr:sp macro="" textlink="">
      <xdr:nvSpPr>
        <xdr:cNvPr id="14" name="星: 5 pt 13">
          <a:extLst>
            <a:ext uri="{FF2B5EF4-FFF2-40B4-BE49-F238E27FC236}">
              <a16:creationId xmlns:a16="http://schemas.microsoft.com/office/drawing/2014/main" id="{15FE46BD-28EB-C386-6F85-CAC303A54777}"/>
            </a:ext>
          </a:extLst>
        </xdr:cNvPr>
        <xdr:cNvSpPr/>
      </xdr:nvSpPr>
      <xdr:spPr>
        <a:xfrm>
          <a:off x="5689597" y="1609724"/>
          <a:ext cx="180000" cy="1831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463550</xdr:colOff>
      <xdr:row>2</xdr:row>
      <xdr:rowOff>971549</xdr:rowOff>
    </xdr:from>
    <xdr:to>
      <xdr:col>12</xdr:col>
      <xdr:colOff>419100</xdr:colOff>
      <xdr:row>2</xdr:row>
      <xdr:rowOff>1289049</xdr:rowOff>
    </xdr:to>
    <xdr:sp macro="" textlink="">
      <xdr:nvSpPr>
        <xdr:cNvPr id="15" name="テキスト ボックス 14">
          <a:extLst>
            <a:ext uri="{FF2B5EF4-FFF2-40B4-BE49-F238E27FC236}">
              <a16:creationId xmlns:a16="http://schemas.microsoft.com/office/drawing/2014/main" id="{BFE66919-D329-2015-C7E1-2C2108E6915B}"/>
            </a:ext>
          </a:extLst>
        </xdr:cNvPr>
        <xdr:cNvSpPr txBox="1"/>
      </xdr:nvSpPr>
      <xdr:spPr>
        <a:xfrm>
          <a:off x="5216525" y="1295399"/>
          <a:ext cx="1355725" cy="317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情報提供最終期限</a:t>
          </a:r>
        </a:p>
      </xdr:txBody>
    </xdr:sp>
    <xdr:clientData/>
  </xdr:twoCellAnchor>
  <xdr:twoCellAnchor>
    <xdr:from>
      <xdr:col>11</xdr:col>
      <xdr:colOff>53975</xdr:colOff>
      <xdr:row>3</xdr:row>
      <xdr:rowOff>25400</xdr:rowOff>
    </xdr:from>
    <xdr:to>
      <xdr:col>11</xdr:col>
      <xdr:colOff>53975</xdr:colOff>
      <xdr:row>4</xdr:row>
      <xdr:rowOff>844550</xdr:rowOff>
    </xdr:to>
    <xdr:cxnSp macro="">
      <xdr:nvCxnSpPr>
        <xdr:cNvPr id="17" name="直線矢印コネクタ 16">
          <a:extLst>
            <a:ext uri="{FF2B5EF4-FFF2-40B4-BE49-F238E27FC236}">
              <a16:creationId xmlns:a16="http://schemas.microsoft.com/office/drawing/2014/main" id="{B50E0C23-463C-7E94-0969-2703C3031A2C}"/>
            </a:ext>
          </a:extLst>
        </xdr:cNvPr>
        <xdr:cNvCxnSpPr/>
      </xdr:nvCxnSpPr>
      <xdr:spPr>
        <a:xfrm>
          <a:off x="7169150" y="1978025"/>
          <a:ext cx="0" cy="2409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304800</xdr:colOff>
      <xdr:row>2</xdr:row>
      <xdr:rowOff>1371600</xdr:rowOff>
    </xdr:from>
    <xdr:to>
      <xdr:col>16</xdr:col>
      <xdr:colOff>552450</xdr:colOff>
      <xdr:row>2</xdr:row>
      <xdr:rowOff>1371600</xdr:rowOff>
    </xdr:to>
    <xdr:cxnSp macro="">
      <xdr:nvCxnSpPr>
        <xdr:cNvPr id="18" name="直線矢印コネクタ 17">
          <a:extLst>
            <a:ext uri="{FF2B5EF4-FFF2-40B4-BE49-F238E27FC236}">
              <a16:creationId xmlns:a16="http://schemas.microsoft.com/office/drawing/2014/main" id="{77CF7AF3-B9D1-ADBB-F1BC-4D8B9F4BB2F6}"/>
            </a:ext>
          </a:extLst>
        </xdr:cNvPr>
        <xdr:cNvCxnSpPr/>
      </xdr:nvCxnSpPr>
      <xdr:spPr>
        <a:xfrm>
          <a:off x="9858375" y="1695450"/>
          <a:ext cx="857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390525</xdr:colOff>
      <xdr:row>2</xdr:row>
      <xdr:rowOff>914399</xdr:rowOff>
    </xdr:from>
    <xdr:to>
      <xdr:col>17</xdr:col>
      <xdr:colOff>47625</xdr:colOff>
      <xdr:row>2</xdr:row>
      <xdr:rowOff>1228724</xdr:rowOff>
    </xdr:to>
    <xdr:sp macro="" textlink="">
      <xdr:nvSpPr>
        <xdr:cNvPr id="20" name="テキスト ボックス 19">
          <a:extLst>
            <a:ext uri="{FF2B5EF4-FFF2-40B4-BE49-F238E27FC236}">
              <a16:creationId xmlns:a16="http://schemas.microsoft.com/office/drawing/2014/main" id="{2C482E90-96B7-085A-AF63-F068F27F3F9F}"/>
            </a:ext>
          </a:extLst>
        </xdr:cNvPr>
        <xdr:cNvSpPr txBox="1"/>
      </xdr:nvSpPr>
      <xdr:spPr>
        <a:xfrm>
          <a:off x="7477125" y="1238249"/>
          <a:ext cx="1057275"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設計チェック①</a:t>
          </a:r>
        </a:p>
      </xdr:txBody>
    </xdr:sp>
    <xdr:clientData/>
  </xdr:twoCellAnchor>
  <xdr:twoCellAnchor>
    <xdr:from>
      <xdr:col>15</xdr:col>
      <xdr:colOff>320675</xdr:colOff>
      <xdr:row>2</xdr:row>
      <xdr:rowOff>1476375</xdr:rowOff>
    </xdr:from>
    <xdr:to>
      <xdr:col>15</xdr:col>
      <xdr:colOff>320675</xdr:colOff>
      <xdr:row>4</xdr:row>
      <xdr:rowOff>676275</xdr:rowOff>
    </xdr:to>
    <xdr:cxnSp macro="">
      <xdr:nvCxnSpPr>
        <xdr:cNvPr id="21" name="直線矢印コネクタ 20">
          <a:extLst>
            <a:ext uri="{FF2B5EF4-FFF2-40B4-BE49-F238E27FC236}">
              <a16:creationId xmlns:a16="http://schemas.microsoft.com/office/drawing/2014/main" id="{C3B995B0-89A8-C264-0ACF-D0DCB58AEBF6}"/>
            </a:ext>
          </a:extLst>
        </xdr:cNvPr>
        <xdr:cNvCxnSpPr/>
      </xdr:nvCxnSpPr>
      <xdr:spPr>
        <a:xfrm flipV="1">
          <a:off x="9874250" y="1800225"/>
          <a:ext cx="0"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xdr:colOff>
      <xdr:row>4</xdr:row>
      <xdr:rowOff>939800</xdr:rowOff>
    </xdr:from>
    <xdr:to>
      <xdr:col>18</xdr:col>
      <xdr:colOff>349250</xdr:colOff>
      <xdr:row>4</xdr:row>
      <xdr:rowOff>939800</xdr:rowOff>
    </xdr:to>
    <xdr:cxnSp macro="">
      <xdr:nvCxnSpPr>
        <xdr:cNvPr id="24" name="直線矢印コネクタ 23">
          <a:extLst>
            <a:ext uri="{FF2B5EF4-FFF2-40B4-BE49-F238E27FC236}">
              <a16:creationId xmlns:a16="http://schemas.microsoft.com/office/drawing/2014/main" id="{C39B18F8-4E76-45F5-21AB-9902518FA7A6}"/>
            </a:ext>
          </a:extLst>
        </xdr:cNvPr>
        <xdr:cNvCxnSpPr/>
      </xdr:nvCxnSpPr>
      <xdr:spPr>
        <a:xfrm>
          <a:off x="10801350" y="4483100"/>
          <a:ext cx="9302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190500</xdr:colOff>
      <xdr:row>4</xdr:row>
      <xdr:rowOff>1022349</xdr:rowOff>
    </xdr:from>
    <xdr:to>
      <xdr:col>18</xdr:col>
      <xdr:colOff>152400</xdr:colOff>
      <xdr:row>4</xdr:row>
      <xdr:rowOff>1336674</xdr:rowOff>
    </xdr:to>
    <xdr:sp macro="" textlink="">
      <xdr:nvSpPr>
        <xdr:cNvPr id="26" name="テキスト ボックス 25">
          <a:extLst>
            <a:ext uri="{FF2B5EF4-FFF2-40B4-BE49-F238E27FC236}">
              <a16:creationId xmlns:a16="http://schemas.microsoft.com/office/drawing/2014/main" id="{1559DDE4-EAFE-0B18-7485-8AA936A42823}"/>
            </a:ext>
          </a:extLst>
        </xdr:cNvPr>
        <xdr:cNvSpPr txBox="1"/>
      </xdr:nvSpPr>
      <xdr:spPr>
        <a:xfrm>
          <a:off x="8210550" y="4565649"/>
          <a:ext cx="895350"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指摘反映①</a:t>
          </a:r>
        </a:p>
      </xdr:txBody>
    </xdr:sp>
    <xdr:clientData/>
  </xdr:twoCellAnchor>
  <xdr:twoCellAnchor>
    <xdr:from>
      <xdr:col>16</xdr:col>
      <xdr:colOff>549275</xdr:colOff>
      <xdr:row>2</xdr:row>
      <xdr:rowOff>1504950</xdr:rowOff>
    </xdr:from>
    <xdr:to>
      <xdr:col>16</xdr:col>
      <xdr:colOff>549275</xdr:colOff>
      <xdr:row>4</xdr:row>
      <xdr:rowOff>692150</xdr:rowOff>
    </xdr:to>
    <xdr:cxnSp macro="">
      <xdr:nvCxnSpPr>
        <xdr:cNvPr id="27" name="直線矢印コネクタ 26">
          <a:extLst>
            <a:ext uri="{FF2B5EF4-FFF2-40B4-BE49-F238E27FC236}">
              <a16:creationId xmlns:a16="http://schemas.microsoft.com/office/drawing/2014/main" id="{29D248CF-A57A-A37B-FD6C-4B23979F0B64}"/>
            </a:ext>
          </a:extLst>
        </xdr:cNvPr>
        <xdr:cNvCxnSpPr/>
      </xdr:nvCxnSpPr>
      <xdr:spPr>
        <a:xfrm>
          <a:off x="10712450" y="1828800"/>
          <a:ext cx="0" cy="2406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361950</xdr:colOff>
      <xdr:row>2</xdr:row>
      <xdr:rowOff>1358900</xdr:rowOff>
    </xdr:from>
    <xdr:to>
      <xdr:col>19</xdr:col>
      <xdr:colOff>180975</xdr:colOff>
      <xdr:row>2</xdr:row>
      <xdr:rowOff>1358900</xdr:rowOff>
    </xdr:to>
    <xdr:cxnSp macro="">
      <xdr:nvCxnSpPr>
        <xdr:cNvPr id="28" name="直線矢印コネクタ 27">
          <a:extLst>
            <a:ext uri="{FF2B5EF4-FFF2-40B4-BE49-F238E27FC236}">
              <a16:creationId xmlns:a16="http://schemas.microsoft.com/office/drawing/2014/main" id="{ECB482AA-2A8B-FD1B-B9E4-E14BEA8A56FB}"/>
            </a:ext>
          </a:extLst>
        </xdr:cNvPr>
        <xdr:cNvCxnSpPr/>
      </xdr:nvCxnSpPr>
      <xdr:spPr>
        <a:xfrm>
          <a:off x="11744325" y="168275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323851</xdr:colOff>
      <xdr:row>2</xdr:row>
      <xdr:rowOff>933449</xdr:rowOff>
    </xdr:from>
    <xdr:to>
      <xdr:col>19</xdr:col>
      <xdr:colOff>463551</xdr:colOff>
      <xdr:row>2</xdr:row>
      <xdr:rowOff>1247774</xdr:rowOff>
    </xdr:to>
    <xdr:sp macro="" textlink="">
      <xdr:nvSpPr>
        <xdr:cNvPr id="29" name="テキスト ボックス 28">
          <a:extLst>
            <a:ext uri="{FF2B5EF4-FFF2-40B4-BE49-F238E27FC236}">
              <a16:creationId xmlns:a16="http://schemas.microsoft.com/office/drawing/2014/main" id="{734F57C9-5D80-4B0E-6235-9E39D45A6125}"/>
            </a:ext>
          </a:extLst>
        </xdr:cNvPr>
        <xdr:cNvSpPr txBox="1"/>
      </xdr:nvSpPr>
      <xdr:spPr>
        <a:xfrm>
          <a:off x="8810626" y="1257299"/>
          <a:ext cx="1073150"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設計チェック②</a:t>
          </a:r>
        </a:p>
      </xdr:txBody>
    </xdr:sp>
    <xdr:clientData/>
  </xdr:twoCellAnchor>
  <xdr:twoCellAnchor>
    <xdr:from>
      <xdr:col>18</xdr:col>
      <xdr:colOff>377825</xdr:colOff>
      <xdr:row>2</xdr:row>
      <xdr:rowOff>1466850</xdr:rowOff>
    </xdr:from>
    <xdr:to>
      <xdr:col>18</xdr:col>
      <xdr:colOff>377825</xdr:colOff>
      <xdr:row>4</xdr:row>
      <xdr:rowOff>666750</xdr:rowOff>
    </xdr:to>
    <xdr:cxnSp macro="">
      <xdr:nvCxnSpPr>
        <xdr:cNvPr id="30" name="直線矢印コネクタ 29">
          <a:extLst>
            <a:ext uri="{FF2B5EF4-FFF2-40B4-BE49-F238E27FC236}">
              <a16:creationId xmlns:a16="http://schemas.microsoft.com/office/drawing/2014/main" id="{67FA632A-9507-E073-1173-F1691FD918A8}"/>
            </a:ext>
          </a:extLst>
        </xdr:cNvPr>
        <xdr:cNvCxnSpPr/>
      </xdr:nvCxnSpPr>
      <xdr:spPr>
        <a:xfrm flipV="1">
          <a:off x="11760200" y="1790700"/>
          <a:ext cx="0"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177800</xdr:colOff>
      <xdr:row>2</xdr:row>
      <xdr:rowOff>1463675</xdr:rowOff>
    </xdr:from>
    <xdr:to>
      <xdr:col>19</xdr:col>
      <xdr:colOff>177800</xdr:colOff>
      <xdr:row>4</xdr:row>
      <xdr:rowOff>654050</xdr:rowOff>
    </xdr:to>
    <xdr:cxnSp macro="">
      <xdr:nvCxnSpPr>
        <xdr:cNvPr id="31" name="直線矢印コネクタ 30">
          <a:extLst>
            <a:ext uri="{FF2B5EF4-FFF2-40B4-BE49-F238E27FC236}">
              <a16:creationId xmlns:a16="http://schemas.microsoft.com/office/drawing/2014/main" id="{7F3C6E64-2B93-7713-A71C-A16D41AD9FDA}"/>
            </a:ext>
          </a:extLst>
        </xdr:cNvPr>
        <xdr:cNvCxnSpPr/>
      </xdr:nvCxnSpPr>
      <xdr:spPr>
        <a:xfrm>
          <a:off x="12169775" y="1787525"/>
          <a:ext cx="0" cy="2409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228600</xdr:colOff>
      <xdr:row>4</xdr:row>
      <xdr:rowOff>866775</xdr:rowOff>
    </xdr:from>
    <xdr:to>
      <xdr:col>20</xdr:col>
      <xdr:colOff>25400</xdr:colOff>
      <xdr:row>4</xdr:row>
      <xdr:rowOff>866775</xdr:rowOff>
    </xdr:to>
    <xdr:cxnSp macro="">
      <xdr:nvCxnSpPr>
        <xdr:cNvPr id="32" name="直線矢印コネクタ 31">
          <a:extLst>
            <a:ext uri="{FF2B5EF4-FFF2-40B4-BE49-F238E27FC236}">
              <a16:creationId xmlns:a16="http://schemas.microsoft.com/office/drawing/2014/main" id="{992B1DC0-B966-B88A-F2B0-87ACD390ADE9}"/>
            </a:ext>
          </a:extLst>
        </xdr:cNvPr>
        <xdr:cNvCxnSpPr/>
      </xdr:nvCxnSpPr>
      <xdr:spPr>
        <a:xfrm>
          <a:off x="9648825" y="4410075"/>
          <a:ext cx="2635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438150</xdr:colOff>
      <xdr:row>4</xdr:row>
      <xdr:rowOff>1038224</xdr:rowOff>
    </xdr:from>
    <xdr:to>
      <xdr:col>20</xdr:col>
      <xdr:colOff>444500</xdr:colOff>
      <xdr:row>4</xdr:row>
      <xdr:rowOff>1352549</xdr:rowOff>
    </xdr:to>
    <xdr:sp macro="" textlink="">
      <xdr:nvSpPr>
        <xdr:cNvPr id="33" name="テキスト ボックス 32">
          <a:extLst>
            <a:ext uri="{FF2B5EF4-FFF2-40B4-BE49-F238E27FC236}">
              <a16:creationId xmlns:a16="http://schemas.microsoft.com/office/drawing/2014/main" id="{69176DD3-1D7D-BD04-C3CA-F2FBB9D2586A}"/>
            </a:ext>
          </a:extLst>
        </xdr:cNvPr>
        <xdr:cNvSpPr txBox="1"/>
      </xdr:nvSpPr>
      <xdr:spPr>
        <a:xfrm>
          <a:off x="9391650" y="4581524"/>
          <a:ext cx="939800"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指摘反映②</a:t>
          </a:r>
        </a:p>
      </xdr:txBody>
    </xdr:sp>
    <xdr:clientData/>
  </xdr:twoCellAnchor>
  <xdr:twoCellAnchor>
    <xdr:from>
      <xdr:col>20</xdr:col>
      <xdr:colOff>9525</xdr:colOff>
      <xdr:row>2</xdr:row>
      <xdr:rowOff>1444625</xdr:rowOff>
    </xdr:from>
    <xdr:to>
      <xdr:col>20</xdr:col>
      <xdr:colOff>9525</xdr:colOff>
      <xdr:row>4</xdr:row>
      <xdr:rowOff>644525</xdr:rowOff>
    </xdr:to>
    <xdr:cxnSp macro="">
      <xdr:nvCxnSpPr>
        <xdr:cNvPr id="37" name="直線矢印コネクタ 36">
          <a:extLst>
            <a:ext uri="{FF2B5EF4-FFF2-40B4-BE49-F238E27FC236}">
              <a16:creationId xmlns:a16="http://schemas.microsoft.com/office/drawing/2014/main" id="{F743B34A-33E3-2C03-6C28-69B8FBDCB6A0}"/>
            </a:ext>
          </a:extLst>
        </xdr:cNvPr>
        <xdr:cNvCxnSpPr/>
      </xdr:nvCxnSpPr>
      <xdr:spPr>
        <a:xfrm flipV="1">
          <a:off x="12611100" y="1768475"/>
          <a:ext cx="0"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368299</xdr:colOff>
      <xdr:row>2</xdr:row>
      <xdr:rowOff>355599</xdr:rowOff>
    </xdr:from>
    <xdr:to>
      <xdr:col>21</xdr:col>
      <xdr:colOff>228599</xdr:colOff>
      <xdr:row>2</xdr:row>
      <xdr:rowOff>666749</xdr:rowOff>
    </xdr:to>
    <xdr:sp macro="" textlink="">
      <xdr:nvSpPr>
        <xdr:cNvPr id="38" name="テキスト ボックス 37">
          <a:extLst>
            <a:ext uri="{FF2B5EF4-FFF2-40B4-BE49-F238E27FC236}">
              <a16:creationId xmlns:a16="http://schemas.microsoft.com/office/drawing/2014/main" id="{DF40D8F7-D222-A8A3-2DF4-1642BD6FBB4B}"/>
            </a:ext>
          </a:extLst>
        </xdr:cNvPr>
        <xdr:cNvSpPr txBox="1"/>
      </xdr:nvSpPr>
      <xdr:spPr>
        <a:xfrm>
          <a:off x="9321799" y="679449"/>
          <a:ext cx="1260475" cy="311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最終品質チェック</a:t>
          </a:r>
        </a:p>
      </xdr:txBody>
    </xdr:sp>
    <xdr:clientData/>
  </xdr:twoCellAnchor>
  <xdr:twoCellAnchor>
    <xdr:from>
      <xdr:col>18</xdr:col>
      <xdr:colOff>368300</xdr:colOff>
      <xdr:row>2</xdr:row>
      <xdr:rowOff>815975</xdr:rowOff>
    </xdr:from>
    <xdr:to>
      <xdr:col>20</xdr:col>
      <xdr:colOff>228600</xdr:colOff>
      <xdr:row>2</xdr:row>
      <xdr:rowOff>815975</xdr:rowOff>
    </xdr:to>
    <xdr:cxnSp macro="">
      <xdr:nvCxnSpPr>
        <xdr:cNvPr id="39" name="直線矢印コネクタ 38">
          <a:extLst>
            <a:ext uri="{FF2B5EF4-FFF2-40B4-BE49-F238E27FC236}">
              <a16:creationId xmlns:a16="http://schemas.microsoft.com/office/drawing/2014/main" id="{F1055693-29E9-387C-2490-F262FBEFA5A0}"/>
            </a:ext>
          </a:extLst>
        </xdr:cNvPr>
        <xdr:cNvCxnSpPr/>
      </xdr:nvCxnSpPr>
      <xdr:spPr>
        <a:xfrm>
          <a:off x="11750675" y="1139825"/>
          <a:ext cx="1079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276225</xdr:colOff>
      <xdr:row>2</xdr:row>
      <xdr:rowOff>863600</xdr:rowOff>
    </xdr:from>
    <xdr:to>
      <xdr:col>20</xdr:col>
      <xdr:colOff>276225</xdr:colOff>
      <xdr:row>4</xdr:row>
      <xdr:rowOff>180975</xdr:rowOff>
    </xdr:to>
    <xdr:cxnSp macro="">
      <xdr:nvCxnSpPr>
        <xdr:cNvPr id="41" name="直線矢印コネクタ 40">
          <a:extLst>
            <a:ext uri="{FF2B5EF4-FFF2-40B4-BE49-F238E27FC236}">
              <a16:creationId xmlns:a16="http://schemas.microsoft.com/office/drawing/2014/main" id="{36300AB4-9521-9B0A-96C4-FB7690EF72D3}"/>
            </a:ext>
          </a:extLst>
        </xdr:cNvPr>
        <xdr:cNvCxnSpPr/>
      </xdr:nvCxnSpPr>
      <xdr:spPr>
        <a:xfrm>
          <a:off x="12877800" y="1187450"/>
          <a:ext cx="0" cy="253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342898</xdr:colOff>
      <xdr:row>4</xdr:row>
      <xdr:rowOff>361949</xdr:rowOff>
    </xdr:from>
    <xdr:to>
      <xdr:col>21</xdr:col>
      <xdr:colOff>56173</xdr:colOff>
      <xdr:row>4</xdr:row>
      <xdr:rowOff>541949</xdr:rowOff>
    </xdr:to>
    <xdr:sp macro="" textlink="">
      <xdr:nvSpPr>
        <xdr:cNvPr id="43" name="星: 5 pt 42">
          <a:extLst>
            <a:ext uri="{FF2B5EF4-FFF2-40B4-BE49-F238E27FC236}">
              <a16:creationId xmlns:a16="http://schemas.microsoft.com/office/drawing/2014/main" id="{466726E9-4321-9FE7-0BA7-0CC8A3ABEB3C}"/>
            </a:ext>
          </a:extLst>
        </xdr:cNvPr>
        <xdr:cNvSpPr/>
      </xdr:nvSpPr>
      <xdr:spPr>
        <a:xfrm>
          <a:off x="10229848" y="3905249"/>
          <a:ext cx="180000" cy="1800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342900</xdr:colOff>
      <xdr:row>4</xdr:row>
      <xdr:rowOff>631824</xdr:rowOff>
    </xdr:from>
    <xdr:to>
      <xdr:col>21</xdr:col>
      <xdr:colOff>409575</xdr:colOff>
      <xdr:row>4</xdr:row>
      <xdr:rowOff>962025</xdr:rowOff>
    </xdr:to>
    <xdr:sp macro="" textlink="">
      <xdr:nvSpPr>
        <xdr:cNvPr id="45" name="テキスト ボックス 44">
          <a:extLst>
            <a:ext uri="{FF2B5EF4-FFF2-40B4-BE49-F238E27FC236}">
              <a16:creationId xmlns:a16="http://schemas.microsoft.com/office/drawing/2014/main" id="{6AA3F45E-CE86-0781-457E-909D1A1C0241}"/>
            </a:ext>
          </a:extLst>
        </xdr:cNvPr>
        <xdr:cNvSpPr txBox="1"/>
      </xdr:nvSpPr>
      <xdr:spPr>
        <a:xfrm>
          <a:off x="10229850" y="4175124"/>
          <a:ext cx="533400" cy="3302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納品</a:t>
          </a:r>
        </a:p>
      </xdr:txBody>
    </xdr:sp>
    <xdr:clientData/>
  </xdr:twoCellAnchor>
  <xdr:twoCellAnchor>
    <xdr:from>
      <xdr:col>20</xdr:col>
      <xdr:colOff>219075</xdr:colOff>
      <xdr:row>4</xdr:row>
      <xdr:rowOff>276225</xdr:rowOff>
    </xdr:from>
    <xdr:to>
      <xdr:col>20</xdr:col>
      <xdr:colOff>501650</xdr:colOff>
      <xdr:row>4</xdr:row>
      <xdr:rowOff>276225</xdr:rowOff>
    </xdr:to>
    <xdr:cxnSp macro="">
      <xdr:nvCxnSpPr>
        <xdr:cNvPr id="47" name="直線矢印コネクタ 46">
          <a:extLst>
            <a:ext uri="{FF2B5EF4-FFF2-40B4-BE49-F238E27FC236}">
              <a16:creationId xmlns:a16="http://schemas.microsoft.com/office/drawing/2014/main" id="{07A4E145-894C-FC9D-C5AD-201F3F71F7FE}"/>
            </a:ext>
          </a:extLst>
        </xdr:cNvPr>
        <xdr:cNvCxnSpPr/>
      </xdr:nvCxnSpPr>
      <xdr:spPr>
        <a:xfrm>
          <a:off x="12820650" y="3819525"/>
          <a:ext cx="2825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412747</xdr:colOff>
      <xdr:row>4</xdr:row>
      <xdr:rowOff>590549</xdr:rowOff>
    </xdr:from>
    <xdr:to>
      <xdr:col>20</xdr:col>
      <xdr:colOff>122847</xdr:colOff>
      <xdr:row>4</xdr:row>
      <xdr:rowOff>770549</xdr:rowOff>
    </xdr:to>
    <xdr:sp macro="" textlink="">
      <xdr:nvSpPr>
        <xdr:cNvPr id="49" name="星: 5 pt 48">
          <a:extLst>
            <a:ext uri="{FF2B5EF4-FFF2-40B4-BE49-F238E27FC236}">
              <a16:creationId xmlns:a16="http://schemas.microsoft.com/office/drawing/2014/main" id="{4E6A6602-DE5E-73DA-8EB6-AACA2F1FF6C2}"/>
            </a:ext>
          </a:extLst>
        </xdr:cNvPr>
        <xdr:cNvSpPr/>
      </xdr:nvSpPr>
      <xdr:spPr>
        <a:xfrm>
          <a:off x="9832972" y="4133849"/>
          <a:ext cx="176825" cy="1800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98423</xdr:colOff>
      <xdr:row>4</xdr:row>
      <xdr:rowOff>723899</xdr:rowOff>
    </xdr:from>
    <xdr:to>
      <xdr:col>19</xdr:col>
      <xdr:colOff>275248</xdr:colOff>
      <xdr:row>4</xdr:row>
      <xdr:rowOff>903899</xdr:rowOff>
    </xdr:to>
    <xdr:sp macro="" textlink="">
      <xdr:nvSpPr>
        <xdr:cNvPr id="50" name="星: 5 pt 49">
          <a:extLst>
            <a:ext uri="{FF2B5EF4-FFF2-40B4-BE49-F238E27FC236}">
              <a16:creationId xmlns:a16="http://schemas.microsoft.com/office/drawing/2014/main" id="{954B8A38-54FD-E431-635F-44B7DB8CBF0F}"/>
            </a:ext>
          </a:extLst>
        </xdr:cNvPr>
        <xdr:cNvSpPr/>
      </xdr:nvSpPr>
      <xdr:spPr>
        <a:xfrm>
          <a:off x="9518648" y="4267199"/>
          <a:ext cx="176825" cy="1800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285748</xdr:colOff>
      <xdr:row>4</xdr:row>
      <xdr:rowOff>523874</xdr:rowOff>
    </xdr:from>
    <xdr:to>
      <xdr:col>19</xdr:col>
      <xdr:colOff>2198</xdr:colOff>
      <xdr:row>4</xdr:row>
      <xdr:rowOff>703874</xdr:rowOff>
    </xdr:to>
    <xdr:sp macro="" textlink="">
      <xdr:nvSpPr>
        <xdr:cNvPr id="51" name="星: 5 pt 50">
          <a:extLst>
            <a:ext uri="{FF2B5EF4-FFF2-40B4-BE49-F238E27FC236}">
              <a16:creationId xmlns:a16="http://schemas.microsoft.com/office/drawing/2014/main" id="{6B06AD95-E12C-9C17-09C3-108885E4F7C4}"/>
            </a:ext>
          </a:extLst>
        </xdr:cNvPr>
        <xdr:cNvSpPr/>
      </xdr:nvSpPr>
      <xdr:spPr>
        <a:xfrm>
          <a:off x="9239248" y="4067174"/>
          <a:ext cx="183175" cy="1800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409572</xdr:colOff>
      <xdr:row>4</xdr:row>
      <xdr:rowOff>803274</xdr:rowOff>
    </xdr:from>
    <xdr:to>
      <xdr:col>17</xdr:col>
      <xdr:colOff>122847</xdr:colOff>
      <xdr:row>4</xdr:row>
      <xdr:rowOff>983274</xdr:rowOff>
    </xdr:to>
    <xdr:sp macro="" textlink="">
      <xdr:nvSpPr>
        <xdr:cNvPr id="52" name="星: 5 pt 51">
          <a:extLst>
            <a:ext uri="{FF2B5EF4-FFF2-40B4-BE49-F238E27FC236}">
              <a16:creationId xmlns:a16="http://schemas.microsoft.com/office/drawing/2014/main" id="{F7411192-4F4D-5686-ECFF-76C6465D598B}"/>
            </a:ext>
          </a:extLst>
        </xdr:cNvPr>
        <xdr:cNvSpPr/>
      </xdr:nvSpPr>
      <xdr:spPr>
        <a:xfrm>
          <a:off x="8429622" y="4346574"/>
          <a:ext cx="180000" cy="1800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190499</xdr:colOff>
      <xdr:row>2</xdr:row>
      <xdr:rowOff>1219199</xdr:rowOff>
    </xdr:from>
    <xdr:to>
      <xdr:col>15</xdr:col>
      <xdr:colOff>370499</xdr:colOff>
      <xdr:row>2</xdr:row>
      <xdr:rowOff>1402374</xdr:rowOff>
    </xdr:to>
    <xdr:sp macro="" textlink="">
      <xdr:nvSpPr>
        <xdr:cNvPr id="53" name="星: 5 pt 52">
          <a:extLst>
            <a:ext uri="{FF2B5EF4-FFF2-40B4-BE49-F238E27FC236}">
              <a16:creationId xmlns:a16="http://schemas.microsoft.com/office/drawing/2014/main" id="{184AD85D-6AB2-8725-6D32-5E3FD860CB23}"/>
            </a:ext>
          </a:extLst>
        </xdr:cNvPr>
        <xdr:cNvSpPr/>
      </xdr:nvSpPr>
      <xdr:spPr>
        <a:xfrm>
          <a:off x="7743824" y="1543049"/>
          <a:ext cx="180000" cy="1831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260349</xdr:colOff>
      <xdr:row>2</xdr:row>
      <xdr:rowOff>1222374</xdr:rowOff>
    </xdr:from>
    <xdr:to>
      <xdr:col>18</xdr:col>
      <xdr:colOff>440349</xdr:colOff>
      <xdr:row>2</xdr:row>
      <xdr:rowOff>1399199</xdr:rowOff>
    </xdr:to>
    <xdr:sp macro="" textlink="">
      <xdr:nvSpPr>
        <xdr:cNvPr id="54" name="星: 5 pt 53">
          <a:extLst>
            <a:ext uri="{FF2B5EF4-FFF2-40B4-BE49-F238E27FC236}">
              <a16:creationId xmlns:a16="http://schemas.microsoft.com/office/drawing/2014/main" id="{D8BD6464-0F45-26C1-28B8-4C4D4C0A2775}"/>
            </a:ext>
          </a:extLst>
        </xdr:cNvPr>
        <xdr:cNvSpPr/>
      </xdr:nvSpPr>
      <xdr:spPr>
        <a:xfrm>
          <a:off x="9213849" y="1546224"/>
          <a:ext cx="180000" cy="17682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171449</xdr:colOff>
      <xdr:row>2</xdr:row>
      <xdr:rowOff>879474</xdr:rowOff>
    </xdr:from>
    <xdr:to>
      <xdr:col>20</xdr:col>
      <xdr:colOff>351449</xdr:colOff>
      <xdr:row>2</xdr:row>
      <xdr:rowOff>1056299</xdr:rowOff>
    </xdr:to>
    <xdr:sp macro="" textlink="">
      <xdr:nvSpPr>
        <xdr:cNvPr id="55" name="星: 5 pt 54">
          <a:extLst>
            <a:ext uri="{FF2B5EF4-FFF2-40B4-BE49-F238E27FC236}">
              <a16:creationId xmlns:a16="http://schemas.microsoft.com/office/drawing/2014/main" id="{6903D8B3-DE81-B5C8-623F-A4C3F02BCA93}"/>
            </a:ext>
          </a:extLst>
        </xdr:cNvPr>
        <xdr:cNvSpPr/>
      </xdr:nvSpPr>
      <xdr:spPr>
        <a:xfrm>
          <a:off x="10058399" y="1203324"/>
          <a:ext cx="180000" cy="17682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358775</xdr:colOff>
      <xdr:row>2</xdr:row>
      <xdr:rowOff>1600200</xdr:rowOff>
    </xdr:from>
    <xdr:to>
      <xdr:col>7</xdr:col>
      <xdr:colOff>358775</xdr:colOff>
      <xdr:row>4</xdr:row>
      <xdr:rowOff>790575</xdr:rowOff>
    </xdr:to>
    <xdr:cxnSp macro="">
      <xdr:nvCxnSpPr>
        <xdr:cNvPr id="57" name="直線矢印コネクタ 56">
          <a:extLst>
            <a:ext uri="{FF2B5EF4-FFF2-40B4-BE49-F238E27FC236}">
              <a16:creationId xmlns:a16="http://schemas.microsoft.com/office/drawing/2014/main" id="{58A51C00-2DE3-AAA5-532D-F93B55B0E992}"/>
            </a:ext>
          </a:extLst>
        </xdr:cNvPr>
        <xdr:cNvCxnSpPr/>
      </xdr:nvCxnSpPr>
      <xdr:spPr>
        <a:xfrm>
          <a:off x="4178300" y="1933575"/>
          <a:ext cx="0" cy="2409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39</xdr:col>
      <xdr:colOff>352425</xdr:colOff>
      <xdr:row>7</xdr:row>
      <xdr:rowOff>228600</xdr:rowOff>
    </xdr:from>
    <xdr:to>
      <xdr:col>41</xdr:col>
      <xdr:colOff>292100</xdr:colOff>
      <xdr:row>8</xdr:row>
      <xdr:rowOff>247650</xdr:rowOff>
    </xdr:to>
    <xdr:cxnSp macro="">
      <xdr:nvCxnSpPr>
        <xdr:cNvPr id="3" name="コネクタ: カギ線 2">
          <a:extLst>
            <a:ext uri="{FF2B5EF4-FFF2-40B4-BE49-F238E27FC236}">
              <a16:creationId xmlns:a16="http://schemas.microsoft.com/office/drawing/2014/main" id="{6CC24270-DDF4-F083-BF35-06A0EE51F4F8}"/>
            </a:ext>
          </a:extLst>
        </xdr:cNvPr>
        <xdr:cNvCxnSpPr/>
      </xdr:nvCxnSpPr>
      <xdr:spPr>
        <a:xfrm>
          <a:off x="19573875" y="3514725"/>
          <a:ext cx="720725" cy="51435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377825</xdr:colOff>
      <xdr:row>7</xdr:row>
      <xdr:rowOff>228600</xdr:rowOff>
    </xdr:from>
    <xdr:to>
      <xdr:col>48</xdr:col>
      <xdr:colOff>323850</xdr:colOff>
      <xdr:row>8</xdr:row>
      <xdr:rowOff>244475</xdr:rowOff>
    </xdr:to>
    <xdr:cxnSp macro="">
      <xdr:nvCxnSpPr>
        <xdr:cNvPr id="4" name="コネクタ: カギ線 3">
          <a:extLst>
            <a:ext uri="{FF2B5EF4-FFF2-40B4-BE49-F238E27FC236}">
              <a16:creationId xmlns:a16="http://schemas.microsoft.com/office/drawing/2014/main" id="{964763B4-BE58-14BF-1E06-26C2DFBD6D79}"/>
            </a:ext>
          </a:extLst>
        </xdr:cNvPr>
        <xdr:cNvCxnSpPr/>
      </xdr:nvCxnSpPr>
      <xdr:spPr>
        <a:xfrm>
          <a:off x="22332950" y="3514725"/>
          <a:ext cx="727075" cy="5111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342900</xdr:colOff>
      <xdr:row>7</xdr:row>
      <xdr:rowOff>238125</xdr:rowOff>
    </xdr:from>
    <xdr:to>
      <xdr:col>55</xdr:col>
      <xdr:colOff>282575</xdr:colOff>
      <xdr:row>8</xdr:row>
      <xdr:rowOff>254000</xdr:rowOff>
    </xdr:to>
    <xdr:cxnSp macro="">
      <xdr:nvCxnSpPr>
        <xdr:cNvPr id="5" name="コネクタ: カギ線 4">
          <a:extLst>
            <a:ext uri="{FF2B5EF4-FFF2-40B4-BE49-F238E27FC236}">
              <a16:creationId xmlns:a16="http://schemas.microsoft.com/office/drawing/2014/main" id="{04244CEC-099E-6F47-388C-24E82BC39FBE}"/>
            </a:ext>
          </a:extLst>
        </xdr:cNvPr>
        <xdr:cNvCxnSpPr/>
      </xdr:nvCxnSpPr>
      <xdr:spPr>
        <a:xfrm>
          <a:off x="25031700" y="3524250"/>
          <a:ext cx="720725" cy="5111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304800</xdr:colOff>
      <xdr:row>7</xdr:row>
      <xdr:rowOff>244475</xdr:rowOff>
    </xdr:from>
    <xdr:to>
      <xdr:col>62</xdr:col>
      <xdr:colOff>244475</xdr:colOff>
      <xdr:row>8</xdr:row>
      <xdr:rowOff>266700</xdr:rowOff>
    </xdr:to>
    <xdr:cxnSp macro="">
      <xdr:nvCxnSpPr>
        <xdr:cNvPr id="6" name="コネクタ: カギ線 5">
          <a:extLst>
            <a:ext uri="{FF2B5EF4-FFF2-40B4-BE49-F238E27FC236}">
              <a16:creationId xmlns:a16="http://schemas.microsoft.com/office/drawing/2014/main" id="{A6A673C4-EDBA-ECF3-3BFE-14E67F4C9D29}"/>
            </a:ext>
          </a:extLst>
        </xdr:cNvPr>
        <xdr:cNvCxnSpPr/>
      </xdr:nvCxnSpPr>
      <xdr:spPr>
        <a:xfrm>
          <a:off x="27727275" y="3530600"/>
          <a:ext cx="720725" cy="5175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zoomScale="120" zoomScaleNormal="120" workbookViewId="0">
      <pane ySplit="1" topLeftCell="A37" activePane="bottomLeft" state="frozen"/>
      <selection pane="bottomLeft" activeCell="H9" sqref="H9"/>
    </sheetView>
  </sheetViews>
  <sheetFormatPr defaultRowHeight="13" x14ac:dyDescent="0.2"/>
  <cols>
    <col min="1" max="1" width="8" customWidth="1"/>
    <col min="2" max="2" width="20" customWidth="1"/>
    <col min="3" max="3" width="8" customWidth="1"/>
    <col min="4" max="4" width="32" customWidth="1"/>
    <col min="5" max="5" width="10" customWidth="1"/>
    <col min="6" max="7" width="12" customWidth="1"/>
    <col min="8" max="8" width="28" customWidth="1"/>
    <col min="9" max="9" width="28" hidden="1" customWidth="1"/>
    <col min="10" max="10" width="44.36328125" customWidth="1"/>
    <col min="11" max="11" width="27.7265625" customWidth="1"/>
    <col min="12" max="12" width="23" customWidth="1"/>
  </cols>
  <sheetData>
    <row r="1" spans="1:12" ht="26" x14ac:dyDescent="0.2">
      <c r="A1" s="1" t="s">
        <v>0</v>
      </c>
      <c r="B1" s="1" t="s">
        <v>1</v>
      </c>
      <c r="C1" s="1" t="s">
        <v>2</v>
      </c>
      <c r="D1" s="1" t="s">
        <v>3</v>
      </c>
      <c r="E1" s="1" t="s">
        <v>4</v>
      </c>
      <c r="F1" s="1" t="s">
        <v>5</v>
      </c>
      <c r="G1" s="1" t="s">
        <v>6</v>
      </c>
      <c r="H1" s="1" t="s">
        <v>7</v>
      </c>
      <c r="I1" s="1" t="s">
        <v>8</v>
      </c>
      <c r="J1" s="4" t="s">
        <v>207</v>
      </c>
      <c r="K1" s="4" t="s">
        <v>248</v>
      </c>
    </row>
    <row r="2" spans="1:12" x14ac:dyDescent="0.2">
      <c r="A2" s="2"/>
      <c r="B2" s="2"/>
      <c r="C2" s="2"/>
      <c r="D2" s="2" t="s">
        <v>9</v>
      </c>
      <c r="E2" s="2"/>
      <c r="F2" s="5" t="s">
        <v>10</v>
      </c>
      <c r="G2" s="2"/>
      <c r="H2" s="2"/>
      <c r="I2" s="2"/>
    </row>
    <row r="3" spans="1:12" x14ac:dyDescent="0.2">
      <c r="A3" s="3"/>
      <c r="B3" s="3"/>
      <c r="C3" s="3"/>
      <c r="D3" s="3" t="s">
        <v>11</v>
      </c>
      <c r="E3" s="3"/>
      <c r="F3" s="8" t="s">
        <v>12</v>
      </c>
      <c r="G3" s="3"/>
      <c r="H3" s="3" t="s">
        <v>205</v>
      </c>
      <c r="I3" s="3"/>
      <c r="J3" t="s">
        <v>249</v>
      </c>
    </row>
    <row r="4" spans="1:12" ht="26" x14ac:dyDescent="0.2">
      <c r="A4" s="3"/>
      <c r="B4" s="3"/>
      <c r="C4" s="3"/>
      <c r="D4" s="3" t="s">
        <v>13</v>
      </c>
      <c r="E4" s="3"/>
      <c r="F4" s="8" t="s">
        <v>12</v>
      </c>
      <c r="G4" s="3"/>
      <c r="H4" s="3" t="s">
        <v>205</v>
      </c>
      <c r="I4" s="3"/>
      <c r="J4" s="10" t="s">
        <v>250</v>
      </c>
    </row>
    <row r="5" spans="1:12" x14ac:dyDescent="0.2">
      <c r="A5" s="2"/>
      <c r="B5" s="2"/>
      <c r="C5" s="2"/>
      <c r="D5" s="2" t="s">
        <v>14</v>
      </c>
      <c r="E5" s="2"/>
      <c r="F5" s="5" t="s">
        <v>10</v>
      </c>
      <c r="G5" s="2"/>
      <c r="H5" s="2" t="s">
        <v>206</v>
      </c>
      <c r="I5" s="2"/>
      <c r="J5" t="s">
        <v>208</v>
      </c>
      <c r="L5" s="2" t="s">
        <v>201</v>
      </c>
    </row>
    <row r="6" spans="1:12" x14ac:dyDescent="0.2">
      <c r="A6" s="2"/>
      <c r="B6" s="2"/>
      <c r="C6" s="2"/>
      <c r="D6" s="2" t="s">
        <v>15</v>
      </c>
      <c r="E6" s="2"/>
      <c r="F6" s="5" t="s">
        <v>10</v>
      </c>
      <c r="G6" s="2"/>
      <c r="H6" s="2" t="s">
        <v>206</v>
      </c>
      <c r="I6" s="2"/>
      <c r="J6" t="s">
        <v>208</v>
      </c>
      <c r="L6" s="2" t="s">
        <v>201</v>
      </c>
    </row>
    <row r="7" spans="1:12" ht="26" x14ac:dyDescent="0.2">
      <c r="A7" s="2" t="s">
        <v>16</v>
      </c>
      <c r="B7" s="2" t="s">
        <v>17</v>
      </c>
      <c r="C7" s="2" t="s">
        <v>16</v>
      </c>
      <c r="D7" s="2" t="s">
        <v>18</v>
      </c>
      <c r="E7" s="2" t="s">
        <v>19</v>
      </c>
      <c r="F7" s="6" t="s">
        <v>20</v>
      </c>
      <c r="G7" s="2" t="s">
        <v>21</v>
      </c>
      <c r="H7" s="2" t="s">
        <v>22</v>
      </c>
      <c r="I7" s="2" t="s">
        <v>23</v>
      </c>
      <c r="J7" s="2" t="s">
        <v>209</v>
      </c>
      <c r="K7" s="2" t="s">
        <v>239</v>
      </c>
      <c r="L7" s="2" t="s">
        <v>201</v>
      </c>
    </row>
    <row r="8" spans="1:12" ht="26" x14ac:dyDescent="0.2">
      <c r="A8" s="2" t="s">
        <v>16</v>
      </c>
      <c r="B8" s="2" t="s">
        <v>17</v>
      </c>
      <c r="C8" s="2" t="s">
        <v>24</v>
      </c>
      <c r="D8" s="2" t="s">
        <v>25</v>
      </c>
      <c r="E8" s="2" t="s">
        <v>26</v>
      </c>
      <c r="F8" s="5" t="s">
        <v>10</v>
      </c>
      <c r="G8" s="2" t="s">
        <v>21</v>
      </c>
      <c r="H8" s="2" t="s">
        <v>27</v>
      </c>
      <c r="I8" s="2" t="s">
        <v>28</v>
      </c>
      <c r="J8" s="2" t="s">
        <v>211</v>
      </c>
      <c r="K8" s="2" t="s">
        <v>239</v>
      </c>
    </row>
    <row r="9" spans="1:12" ht="26" x14ac:dyDescent="0.2">
      <c r="A9" s="2" t="s">
        <v>16</v>
      </c>
      <c r="B9" s="2" t="s">
        <v>17</v>
      </c>
      <c r="C9" s="2" t="s">
        <v>29</v>
      </c>
      <c r="D9" s="2" t="s">
        <v>30</v>
      </c>
      <c r="E9" s="2" t="s">
        <v>31</v>
      </c>
      <c r="F9" s="5" t="s">
        <v>199</v>
      </c>
      <c r="G9" s="2" t="s">
        <v>21</v>
      </c>
      <c r="H9" s="2" t="s">
        <v>32</v>
      </c>
      <c r="I9" s="2" t="s">
        <v>33</v>
      </c>
      <c r="J9" s="2" t="s">
        <v>211</v>
      </c>
      <c r="K9" s="2" t="s">
        <v>239</v>
      </c>
    </row>
    <row r="10" spans="1:12" ht="39" x14ac:dyDescent="0.2">
      <c r="A10" s="2" t="s">
        <v>16</v>
      </c>
      <c r="B10" s="2" t="s">
        <v>17</v>
      </c>
      <c r="C10" s="2" t="s">
        <v>34</v>
      </c>
      <c r="D10" s="2" t="s">
        <v>35</v>
      </c>
      <c r="E10" s="2" t="s">
        <v>36</v>
      </c>
      <c r="F10" s="6" t="s">
        <v>20</v>
      </c>
      <c r="G10" s="2" t="s">
        <v>21</v>
      </c>
      <c r="H10" s="2" t="s">
        <v>37</v>
      </c>
      <c r="I10" s="2" t="s">
        <v>38</v>
      </c>
      <c r="J10" s="2" t="s">
        <v>210</v>
      </c>
      <c r="K10" s="2" t="s">
        <v>240</v>
      </c>
    </row>
    <row r="11" spans="1:12" ht="26" x14ac:dyDescent="0.2">
      <c r="A11" s="2" t="s">
        <v>16</v>
      </c>
      <c r="B11" s="2" t="s">
        <v>17</v>
      </c>
      <c r="C11" s="2" t="s">
        <v>39</v>
      </c>
      <c r="D11" s="2" t="s">
        <v>40</v>
      </c>
      <c r="E11" s="2" t="s">
        <v>41</v>
      </c>
      <c r="F11" s="7" t="s">
        <v>200</v>
      </c>
      <c r="G11" s="2" t="s">
        <v>21</v>
      </c>
      <c r="H11" s="2" t="s">
        <v>43</v>
      </c>
      <c r="I11" s="2" t="s">
        <v>44</v>
      </c>
      <c r="J11" s="2" t="s">
        <v>315</v>
      </c>
      <c r="K11" s="2" t="s">
        <v>241</v>
      </c>
      <c r="L11" s="2" t="s">
        <v>201</v>
      </c>
    </row>
    <row r="12" spans="1:12" ht="26" x14ac:dyDescent="0.2">
      <c r="A12" s="2" t="s">
        <v>24</v>
      </c>
      <c r="B12" s="2" t="s">
        <v>45</v>
      </c>
      <c r="C12" s="2"/>
      <c r="D12" s="2" t="s">
        <v>45</v>
      </c>
      <c r="E12" s="2" t="s">
        <v>46</v>
      </c>
      <c r="F12" s="5" t="s">
        <v>10</v>
      </c>
      <c r="G12" s="2" t="s">
        <v>21</v>
      </c>
      <c r="H12" s="2" t="s">
        <v>47</v>
      </c>
      <c r="I12" s="2" t="s">
        <v>48</v>
      </c>
      <c r="J12" s="2" t="s">
        <v>212</v>
      </c>
      <c r="K12" s="2" t="s">
        <v>239</v>
      </c>
    </row>
    <row r="13" spans="1:12" ht="39" x14ac:dyDescent="0.2">
      <c r="A13" s="2" t="s">
        <v>29</v>
      </c>
      <c r="B13" s="2" t="s">
        <v>49</v>
      </c>
      <c r="C13" s="2" t="s">
        <v>16</v>
      </c>
      <c r="D13" s="2" t="s">
        <v>50</v>
      </c>
      <c r="E13" s="2" t="s">
        <v>51</v>
      </c>
      <c r="F13" s="5" t="s">
        <v>10</v>
      </c>
      <c r="G13" s="2" t="s">
        <v>21</v>
      </c>
      <c r="H13" s="2" t="s">
        <v>52</v>
      </c>
      <c r="I13" s="2" t="s">
        <v>53</v>
      </c>
      <c r="J13" s="2" t="s">
        <v>216</v>
      </c>
      <c r="K13" s="2" t="s">
        <v>242</v>
      </c>
    </row>
    <row r="14" spans="1:12" ht="26" x14ac:dyDescent="0.2">
      <c r="A14" s="2" t="s">
        <v>29</v>
      </c>
      <c r="B14" s="2" t="s">
        <v>49</v>
      </c>
      <c r="C14" s="2" t="s">
        <v>24</v>
      </c>
      <c r="D14" s="2" t="s">
        <v>54</v>
      </c>
      <c r="E14" s="2" t="s">
        <v>51</v>
      </c>
      <c r="F14" s="5" t="s">
        <v>10</v>
      </c>
      <c r="G14" s="2" t="s">
        <v>21</v>
      </c>
      <c r="H14" s="2" t="s">
        <v>55</v>
      </c>
      <c r="I14" s="2" t="s">
        <v>56</v>
      </c>
      <c r="J14" s="2" t="s">
        <v>213</v>
      </c>
      <c r="K14" s="2" t="s">
        <v>242</v>
      </c>
    </row>
    <row r="15" spans="1:12" ht="39" x14ac:dyDescent="0.2">
      <c r="A15" s="2" t="s">
        <v>29</v>
      </c>
      <c r="B15" s="2" t="s">
        <v>49</v>
      </c>
      <c r="C15" s="2" t="s">
        <v>29</v>
      </c>
      <c r="D15" s="2" t="s">
        <v>57</v>
      </c>
      <c r="E15" s="2" t="s">
        <v>58</v>
      </c>
      <c r="F15" s="5" t="s">
        <v>10</v>
      </c>
      <c r="G15" s="2" t="s">
        <v>21</v>
      </c>
      <c r="H15" s="2" t="s">
        <v>59</v>
      </c>
      <c r="I15" s="2" t="s">
        <v>60</v>
      </c>
      <c r="J15" s="2" t="s">
        <v>214</v>
      </c>
      <c r="K15" s="2" t="s">
        <v>239</v>
      </c>
    </row>
    <row r="16" spans="1:12" ht="26" x14ac:dyDescent="0.2">
      <c r="A16" s="2" t="s">
        <v>29</v>
      </c>
      <c r="B16" s="2" t="s">
        <v>49</v>
      </c>
      <c r="C16" s="2" t="s">
        <v>34</v>
      </c>
      <c r="D16" s="2" t="s">
        <v>61</v>
      </c>
      <c r="E16" s="2" t="s">
        <v>62</v>
      </c>
      <c r="F16" s="6" t="s">
        <v>20</v>
      </c>
      <c r="G16" s="2" t="s">
        <v>21</v>
      </c>
      <c r="H16" s="2" t="s">
        <v>63</v>
      </c>
      <c r="I16" s="2" t="s">
        <v>64</v>
      </c>
      <c r="J16" s="2" t="s">
        <v>215</v>
      </c>
      <c r="K16" s="2" t="s">
        <v>241</v>
      </c>
    </row>
    <row r="17" spans="1:12" ht="26" x14ac:dyDescent="0.2">
      <c r="A17" s="2" t="s">
        <v>29</v>
      </c>
      <c r="B17" s="2" t="s">
        <v>49</v>
      </c>
      <c r="C17" s="2" t="s">
        <v>39</v>
      </c>
      <c r="D17" s="2" t="s">
        <v>65</v>
      </c>
      <c r="E17" s="2" t="s">
        <v>66</v>
      </c>
      <c r="F17" s="5" t="s">
        <v>10</v>
      </c>
      <c r="G17" s="2" t="s">
        <v>21</v>
      </c>
      <c r="H17" s="2" t="s">
        <v>67</v>
      </c>
      <c r="I17" s="2" t="s">
        <v>68</v>
      </c>
      <c r="J17" s="2" t="s">
        <v>217</v>
      </c>
      <c r="K17" s="2" t="s">
        <v>242</v>
      </c>
    </row>
    <row r="18" spans="1:12" ht="26" x14ac:dyDescent="0.2">
      <c r="A18" s="2" t="s">
        <v>29</v>
      </c>
      <c r="B18" s="2" t="s">
        <v>49</v>
      </c>
      <c r="C18" s="2" t="s">
        <v>69</v>
      </c>
      <c r="D18" s="2" t="s">
        <v>70</v>
      </c>
      <c r="E18" s="2" t="s">
        <v>71</v>
      </c>
      <c r="F18" s="6" t="s">
        <v>20</v>
      </c>
      <c r="G18" s="2" t="s">
        <v>21</v>
      </c>
      <c r="H18" s="2" t="s">
        <v>72</v>
      </c>
      <c r="I18" s="2" t="s">
        <v>73</v>
      </c>
      <c r="J18" s="2" t="s">
        <v>218</v>
      </c>
      <c r="K18" s="2" t="s">
        <v>241</v>
      </c>
    </row>
    <row r="19" spans="1:12" ht="39" x14ac:dyDescent="0.2">
      <c r="A19" s="2" t="s">
        <v>34</v>
      </c>
      <c r="B19" s="2" t="s">
        <v>74</v>
      </c>
      <c r="C19" s="2" t="s">
        <v>75</v>
      </c>
      <c r="D19" s="2" t="s">
        <v>74</v>
      </c>
      <c r="E19" s="2" t="s">
        <v>76</v>
      </c>
      <c r="F19" s="5" t="s">
        <v>10</v>
      </c>
      <c r="G19" s="2" t="s">
        <v>21</v>
      </c>
      <c r="H19" s="2" t="s">
        <v>77</v>
      </c>
      <c r="I19" s="2" t="s">
        <v>78</v>
      </c>
      <c r="J19" s="2" t="s">
        <v>219</v>
      </c>
      <c r="K19" s="2" t="s">
        <v>239</v>
      </c>
    </row>
    <row r="20" spans="1:12" ht="39" x14ac:dyDescent="0.2">
      <c r="A20" s="2" t="s">
        <v>39</v>
      </c>
      <c r="B20" s="2" t="s">
        <v>79</v>
      </c>
      <c r="C20" s="2" t="s">
        <v>16</v>
      </c>
      <c r="D20" s="2" t="s">
        <v>80</v>
      </c>
      <c r="E20" s="2" t="s">
        <v>81</v>
      </c>
      <c r="F20" s="5" t="s">
        <v>10</v>
      </c>
      <c r="G20" s="2" t="s">
        <v>21</v>
      </c>
      <c r="H20" s="2" t="s">
        <v>82</v>
      </c>
      <c r="I20" s="2" t="s">
        <v>83</v>
      </c>
      <c r="J20" s="2" t="s">
        <v>220</v>
      </c>
      <c r="K20" s="2" t="s">
        <v>242</v>
      </c>
    </row>
    <row r="21" spans="1:12" ht="26" x14ac:dyDescent="0.2">
      <c r="A21" s="2" t="s">
        <v>39</v>
      </c>
      <c r="B21" s="2" t="s">
        <v>79</v>
      </c>
      <c r="C21" s="2" t="s">
        <v>24</v>
      </c>
      <c r="D21" s="2" t="s">
        <v>84</v>
      </c>
      <c r="E21" s="2" t="s">
        <v>85</v>
      </c>
      <c r="F21" s="5" t="s">
        <v>10</v>
      </c>
      <c r="G21" s="2" t="s">
        <v>21</v>
      </c>
      <c r="H21" s="2" t="s">
        <v>86</v>
      </c>
      <c r="I21" s="2" t="s">
        <v>87</v>
      </c>
      <c r="J21" s="2" t="s">
        <v>221</v>
      </c>
      <c r="K21" s="2" t="s">
        <v>242</v>
      </c>
    </row>
    <row r="22" spans="1:12" ht="39" x14ac:dyDescent="0.2">
      <c r="A22" s="2" t="s">
        <v>39</v>
      </c>
      <c r="B22" s="2" t="s">
        <v>79</v>
      </c>
      <c r="C22" s="2" t="s">
        <v>29</v>
      </c>
      <c r="D22" s="2" t="s">
        <v>88</v>
      </c>
      <c r="E22" s="2" t="s">
        <v>89</v>
      </c>
      <c r="F22" s="5" t="s">
        <v>202</v>
      </c>
      <c r="G22" s="2" t="s">
        <v>21</v>
      </c>
      <c r="H22" s="2" t="s">
        <v>90</v>
      </c>
      <c r="I22" s="2" t="s">
        <v>91</v>
      </c>
      <c r="J22" s="2" t="s">
        <v>222</v>
      </c>
      <c r="K22" s="2" t="s">
        <v>242</v>
      </c>
      <c r="L22" s="2"/>
    </row>
    <row r="23" spans="1:12" ht="52" x14ac:dyDescent="0.2">
      <c r="A23" s="2" t="s">
        <v>39</v>
      </c>
      <c r="B23" s="2" t="s">
        <v>79</v>
      </c>
      <c r="C23" s="2" t="s">
        <v>34</v>
      </c>
      <c r="D23" s="2" t="s">
        <v>92</v>
      </c>
      <c r="E23" s="2" t="s">
        <v>93</v>
      </c>
      <c r="F23" s="5" t="s">
        <v>10</v>
      </c>
      <c r="G23" s="2" t="s">
        <v>21</v>
      </c>
      <c r="H23" s="2" t="s">
        <v>94</v>
      </c>
      <c r="I23" s="2" t="s">
        <v>95</v>
      </c>
      <c r="J23" s="2" t="s">
        <v>223</v>
      </c>
      <c r="K23" s="2" t="s">
        <v>242</v>
      </c>
    </row>
    <row r="24" spans="1:12" ht="52" x14ac:dyDescent="0.2">
      <c r="A24" s="2" t="s">
        <v>69</v>
      </c>
      <c r="B24" s="2" t="s">
        <v>96</v>
      </c>
      <c r="C24" s="2" t="s">
        <v>16</v>
      </c>
      <c r="D24" s="2" t="s">
        <v>97</v>
      </c>
      <c r="E24" s="2" t="s">
        <v>98</v>
      </c>
      <c r="F24" s="7" t="s">
        <v>42</v>
      </c>
      <c r="G24" s="2" t="s">
        <v>21</v>
      </c>
      <c r="H24" s="2" t="s">
        <v>99</v>
      </c>
      <c r="I24" s="2" t="s">
        <v>100</v>
      </c>
      <c r="J24" s="10" t="s">
        <v>224</v>
      </c>
      <c r="K24" s="2" t="s">
        <v>242</v>
      </c>
    </row>
    <row r="25" spans="1:12" ht="39" x14ac:dyDescent="0.2">
      <c r="A25" s="2" t="s">
        <v>69</v>
      </c>
      <c r="B25" s="2" t="s">
        <v>96</v>
      </c>
      <c r="C25" s="2" t="s">
        <v>24</v>
      </c>
      <c r="D25" s="2" t="s">
        <v>101</v>
      </c>
      <c r="E25" s="2" t="s">
        <v>102</v>
      </c>
      <c r="F25" s="6" t="s">
        <v>20</v>
      </c>
      <c r="G25" s="2" t="s">
        <v>21</v>
      </c>
      <c r="H25" s="2" t="s">
        <v>103</v>
      </c>
      <c r="I25" s="2" t="s">
        <v>104</v>
      </c>
      <c r="J25" s="2" t="s">
        <v>243</v>
      </c>
      <c r="K25" s="2" t="s">
        <v>245</v>
      </c>
    </row>
    <row r="26" spans="1:12" ht="26" x14ac:dyDescent="0.2">
      <c r="A26" s="3" t="s">
        <v>69</v>
      </c>
      <c r="B26" s="3" t="s">
        <v>96</v>
      </c>
      <c r="C26" s="3" t="s">
        <v>29</v>
      </c>
      <c r="D26" s="3" t="s">
        <v>105</v>
      </c>
      <c r="E26" s="3" t="s">
        <v>106</v>
      </c>
      <c r="F26" s="8" t="s">
        <v>12</v>
      </c>
      <c r="G26" s="3" t="s">
        <v>12</v>
      </c>
      <c r="H26" s="3" t="s">
        <v>107</v>
      </c>
      <c r="I26" s="3" t="s">
        <v>108</v>
      </c>
      <c r="J26" s="2" t="s">
        <v>225</v>
      </c>
      <c r="K26" s="2" t="s">
        <v>242</v>
      </c>
    </row>
    <row r="27" spans="1:12" ht="39" x14ac:dyDescent="0.2">
      <c r="A27" s="3" t="s">
        <v>69</v>
      </c>
      <c r="B27" s="3" t="s">
        <v>96</v>
      </c>
      <c r="C27" s="3" t="s">
        <v>34</v>
      </c>
      <c r="D27" s="3" t="s">
        <v>109</v>
      </c>
      <c r="E27" s="3" t="s">
        <v>110</v>
      </c>
      <c r="F27" s="8" t="s">
        <v>12</v>
      </c>
      <c r="G27" s="3" t="s">
        <v>12</v>
      </c>
      <c r="H27" s="3" t="s">
        <v>111</v>
      </c>
      <c r="I27" s="3" t="s">
        <v>112</v>
      </c>
      <c r="J27" s="2" t="s">
        <v>226</v>
      </c>
      <c r="K27" s="2" t="s">
        <v>242</v>
      </c>
    </row>
    <row r="28" spans="1:12" ht="26" x14ac:dyDescent="0.2">
      <c r="A28" s="2" t="s">
        <v>113</v>
      </c>
      <c r="B28" s="2" t="s">
        <v>114</v>
      </c>
      <c r="C28" s="2" t="s">
        <v>16</v>
      </c>
      <c r="D28" s="2" t="s">
        <v>115</v>
      </c>
      <c r="E28" s="2" t="s">
        <v>116</v>
      </c>
      <c r="F28" s="5" t="s">
        <v>10</v>
      </c>
      <c r="G28" s="2" t="s">
        <v>21</v>
      </c>
      <c r="H28" s="2" t="s">
        <v>117</v>
      </c>
      <c r="I28" s="2" t="s">
        <v>118</v>
      </c>
      <c r="J28" s="2" t="s">
        <v>227</v>
      </c>
      <c r="K28" s="2" t="s">
        <v>246</v>
      </c>
    </row>
    <row r="29" spans="1:12" ht="26" x14ac:dyDescent="0.2">
      <c r="A29" s="2" t="s">
        <v>113</v>
      </c>
      <c r="B29" s="2" t="s">
        <v>114</v>
      </c>
      <c r="C29" s="2" t="s">
        <v>24</v>
      </c>
      <c r="D29" s="2" t="s">
        <v>119</v>
      </c>
      <c r="E29" s="2" t="s">
        <v>120</v>
      </c>
      <c r="F29" s="5" t="s">
        <v>10</v>
      </c>
      <c r="G29" s="2" t="s">
        <v>21</v>
      </c>
      <c r="H29" s="2" t="s">
        <v>121</v>
      </c>
      <c r="I29" s="2" t="s">
        <v>122</v>
      </c>
      <c r="J29" s="2" t="s">
        <v>227</v>
      </c>
      <c r="K29" s="2" t="s">
        <v>247</v>
      </c>
    </row>
    <row r="30" spans="1:12" ht="26" x14ac:dyDescent="0.2">
      <c r="A30" s="2" t="s">
        <v>113</v>
      </c>
      <c r="B30" s="2" t="s">
        <v>114</v>
      </c>
      <c r="C30" s="2" t="s">
        <v>29</v>
      </c>
      <c r="D30" s="2" t="s">
        <v>123</v>
      </c>
      <c r="E30" s="2" t="s">
        <v>124</v>
      </c>
      <c r="F30" s="5" t="s">
        <v>10</v>
      </c>
      <c r="G30" s="2" t="s">
        <v>21</v>
      </c>
      <c r="H30" s="2" t="s">
        <v>125</v>
      </c>
      <c r="I30" s="2" t="s">
        <v>126</v>
      </c>
      <c r="J30" s="2" t="s">
        <v>227</v>
      </c>
      <c r="K30" s="2" t="s">
        <v>246</v>
      </c>
    </row>
    <row r="31" spans="1:12" ht="26" x14ac:dyDescent="0.2">
      <c r="A31" s="2" t="s">
        <v>113</v>
      </c>
      <c r="B31" s="2" t="s">
        <v>114</v>
      </c>
      <c r="C31" s="2" t="s">
        <v>34</v>
      </c>
      <c r="D31" s="2" t="s">
        <v>127</v>
      </c>
      <c r="E31" s="2" t="s">
        <v>128</v>
      </c>
      <c r="F31" s="5" t="s">
        <v>10</v>
      </c>
      <c r="G31" s="2" t="s">
        <v>21</v>
      </c>
      <c r="H31" s="2" t="s">
        <v>129</v>
      </c>
      <c r="I31" s="2" t="s">
        <v>130</v>
      </c>
      <c r="J31" s="2" t="s">
        <v>228</v>
      </c>
      <c r="K31" s="2" t="s">
        <v>246</v>
      </c>
    </row>
    <row r="32" spans="1:12" ht="65" x14ac:dyDescent="0.2">
      <c r="A32" s="2" t="s">
        <v>131</v>
      </c>
      <c r="B32" s="2" t="s">
        <v>132</v>
      </c>
      <c r="C32" s="2"/>
      <c r="D32" s="2" t="s">
        <v>132</v>
      </c>
      <c r="E32" s="2" t="s">
        <v>133</v>
      </c>
      <c r="F32" s="6" t="s">
        <v>20</v>
      </c>
      <c r="G32" s="2" t="s">
        <v>21</v>
      </c>
      <c r="H32" s="2" t="s">
        <v>134</v>
      </c>
      <c r="I32" s="2" t="s">
        <v>135</v>
      </c>
      <c r="J32" s="2" t="s">
        <v>229</v>
      </c>
      <c r="K32" s="2" t="s">
        <v>242</v>
      </c>
    </row>
    <row r="33" spans="1:12" ht="39" x14ac:dyDescent="0.2">
      <c r="A33" s="2" t="s">
        <v>136</v>
      </c>
      <c r="B33" s="2" t="s">
        <v>137</v>
      </c>
      <c r="C33" s="2" t="s">
        <v>16</v>
      </c>
      <c r="D33" s="2" t="s">
        <v>138</v>
      </c>
      <c r="E33" s="2" t="s">
        <v>139</v>
      </c>
      <c r="F33" s="6" t="s">
        <v>20</v>
      </c>
      <c r="G33" s="2" t="s">
        <v>21</v>
      </c>
      <c r="H33" s="2" t="s">
        <v>140</v>
      </c>
      <c r="I33" s="2" t="s">
        <v>141</v>
      </c>
      <c r="J33" s="2" t="s">
        <v>230</v>
      </c>
      <c r="K33" s="10" t="s">
        <v>244</v>
      </c>
      <c r="L33" s="2" t="s">
        <v>203</v>
      </c>
    </row>
    <row r="34" spans="1:12" ht="26" x14ac:dyDescent="0.2">
      <c r="A34" s="2" t="s">
        <v>136</v>
      </c>
      <c r="B34" s="2" t="s">
        <v>137</v>
      </c>
      <c r="C34" s="2" t="s">
        <v>24</v>
      </c>
      <c r="D34" s="2" t="s">
        <v>142</v>
      </c>
      <c r="E34" s="2" t="s">
        <v>143</v>
      </c>
      <c r="F34" s="7" t="s">
        <v>42</v>
      </c>
      <c r="G34" s="2" t="s">
        <v>21</v>
      </c>
      <c r="H34" s="2" t="s">
        <v>144</v>
      </c>
      <c r="I34" s="2" t="s">
        <v>145</v>
      </c>
      <c r="J34" s="2" t="s">
        <v>231</v>
      </c>
      <c r="K34" s="2" t="s">
        <v>242</v>
      </c>
    </row>
    <row r="35" spans="1:12" ht="39" x14ac:dyDescent="0.2">
      <c r="A35" s="3" t="s">
        <v>136</v>
      </c>
      <c r="B35" s="3" t="s">
        <v>137</v>
      </c>
      <c r="C35" s="3" t="s">
        <v>29</v>
      </c>
      <c r="D35" s="3" t="s">
        <v>146</v>
      </c>
      <c r="E35" s="3" t="s">
        <v>147</v>
      </c>
      <c r="F35" s="9" t="s">
        <v>148</v>
      </c>
      <c r="G35" s="3" t="s">
        <v>12</v>
      </c>
      <c r="H35" s="3" t="s">
        <v>149</v>
      </c>
      <c r="I35" s="3" t="s">
        <v>150</v>
      </c>
      <c r="J35" s="2" t="s">
        <v>232</v>
      </c>
      <c r="K35" s="2" t="s">
        <v>240</v>
      </c>
      <c r="L35" s="2" t="s">
        <v>201</v>
      </c>
    </row>
    <row r="36" spans="1:12" ht="52" x14ac:dyDescent="0.2">
      <c r="A36" s="3" t="s">
        <v>136</v>
      </c>
      <c r="B36" s="3" t="s">
        <v>137</v>
      </c>
      <c r="C36" s="3" t="s">
        <v>34</v>
      </c>
      <c r="D36" s="3" t="s">
        <v>151</v>
      </c>
      <c r="E36" s="3" t="s">
        <v>152</v>
      </c>
      <c r="F36" s="8" t="s">
        <v>12</v>
      </c>
      <c r="G36" s="3" t="s">
        <v>12</v>
      </c>
      <c r="H36" s="3" t="s">
        <v>153</v>
      </c>
      <c r="I36" s="3" t="s">
        <v>154</v>
      </c>
      <c r="J36" s="2" t="s">
        <v>236</v>
      </c>
      <c r="K36" s="2" t="s">
        <v>241</v>
      </c>
      <c r="L36" s="2" t="s">
        <v>203</v>
      </c>
    </row>
    <row r="37" spans="1:12" ht="52" x14ac:dyDescent="0.2">
      <c r="A37" s="2" t="s">
        <v>136</v>
      </c>
      <c r="B37" s="2" t="s">
        <v>137</v>
      </c>
      <c r="C37" s="2" t="s">
        <v>39</v>
      </c>
      <c r="D37" s="2" t="s">
        <v>155</v>
      </c>
      <c r="E37" s="2" t="s">
        <v>156</v>
      </c>
      <c r="F37" s="7" t="s">
        <v>204</v>
      </c>
      <c r="G37" s="2" t="s">
        <v>21</v>
      </c>
      <c r="H37" s="2" t="s">
        <v>157</v>
      </c>
      <c r="I37" s="2" t="s">
        <v>158</v>
      </c>
      <c r="J37" s="2" t="s">
        <v>233</v>
      </c>
      <c r="K37" s="2" t="s">
        <v>241</v>
      </c>
      <c r="L37" s="2" t="s">
        <v>312</v>
      </c>
    </row>
    <row r="38" spans="1:12" ht="26" x14ac:dyDescent="0.2">
      <c r="A38" s="2" t="s">
        <v>159</v>
      </c>
      <c r="B38" s="2" t="s">
        <v>160</v>
      </c>
      <c r="C38" s="2" t="s">
        <v>16</v>
      </c>
      <c r="D38" s="2" t="s">
        <v>161</v>
      </c>
      <c r="E38" s="2" t="s">
        <v>162</v>
      </c>
      <c r="F38" s="5" t="s">
        <v>10</v>
      </c>
      <c r="G38" s="2" t="s">
        <v>21</v>
      </c>
      <c r="H38" s="2" t="s">
        <v>163</v>
      </c>
      <c r="I38" s="2" t="s">
        <v>164</v>
      </c>
      <c r="J38" s="2" t="s">
        <v>234</v>
      </c>
      <c r="K38" s="10" t="s">
        <v>244</v>
      </c>
    </row>
    <row r="39" spans="1:12" ht="26" x14ac:dyDescent="0.2">
      <c r="A39" s="2" t="s">
        <v>159</v>
      </c>
      <c r="B39" s="2" t="s">
        <v>160</v>
      </c>
      <c r="C39" s="2" t="s">
        <v>24</v>
      </c>
      <c r="D39" s="2" t="s">
        <v>165</v>
      </c>
      <c r="E39" s="2" t="s">
        <v>166</v>
      </c>
      <c r="F39" s="6" t="s">
        <v>20</v>
      </c>
      <c r="G39" s="2" t="s">
        <v>21</v>
      </c>
      <c r="H39" s="2" t="s">
        <v>167</v>
      </c>
      <c r="I39" s="2" t="s">
        <v>168</v>
      </c>
      <c r="J39" s="2" t="s">
        <v>235</v>
      </c>
      <c r="K39" s="2" t="s">
        <v>244</v>
      </c>
    </row>
    <row r="40" spans="1:12" ht="26" x14ac:dyDescent="0.2">
      <c r="A40" s="3" t="s">
        <v>159</v>
      </c>
      <c r="B40" s="3" t="s">
        <v>160</v>
      </c>
      <c r="C40" s="3" t="s">
        <v>29</v>
      </c>
      <c r="D40" s="3" t="s">
        <v>169</v>
      </c>
      <c r="E40" s="3" t="s">
        <v>170</v>
      </c>
      <c r="F40" s="8" t="s">
        <v>12</v>
      </c>
      <c r="G40" s="3" t="s">
        <v>12</v>
      </c>
      <c r="H40" s="3" t="s">
        <v>171</v>
      </c>
      <c r="I40" s="3" t="s">
        <v>172</v>
      </c>
      <c r="J40" s="2" t="s">
        <v>235</v>
      </c>
      <c r="K40" s="2" t="s">
        <v>244</v>
      </c>
    </row>
    <row r="41" spans="1:12" ht="52" x14ac:dyDescent="0.2">
      <c r="A41" s="3" t="s">
        <v>159</v>
      </c>
      <c r="B41" s="3" t="s">
        <v>160</v>
      </c>
      <c r="C41" s="3" t="s">
        <v>34</v>
      </c>
      <c r="D41" s="3" t="s">
        <v>173</v>
      </c>
      <c r="E41" s="3" t="s">
        <v>170</v>
      </c>
      <c r="F41" s="9" t="s">
        <v>148</v>
      </c>
      <c r="G41" s="3" t="s">
        <v>12</v>
      </c>
      <c r="H41" s="3" t="s">
        <v>174</v>
      </c>
      <c r="I41" s="3" t="s">
        <v>175</v>
      </c>
      <c r="J41" s="2" t="s">
        <v>237</v>
      </c>
      <c r="K41" s="2" t="s">
        <v>244</v>
      </c>
      <c r="L41" s="2" t="s">
        <v>201</v>
      </c>
    </row>
    <row r="42" spans="1:12" ht="26" x14ac:dyDescent="0.2">
      <c r="A42" s="2" t="s">
        <v>176</v>
      </c>
      <c r="B42" s="2" t="s">
        <v>177</v>
      </c>
      <c r="C42" s="2"/>
      <c r="D42" s="2" t="s">
        <v>177</v>
      </c>
      <c r="E42" s="2" t="s">
        <v>178</v>
      </c>
      <c r="F42" s="6" t="s">
        <v>20</v>
      </c>
      <c r="G42" s="2" t="s">
        <v>21</v>
      </c>
      <c r="H42" s="2" t="s">
        <v>179</v>
      </c>
      <c r="I42" s="2" t="s">
        <v>180</v>
      </c>
      <c r="J42" s="2" t="s">
        <v>238</v>
      </c>
      <c r="K42" s="2" t="s">
        <v>242</v>
      </c>
    </row>
  </sheetData>
  <autoFilter ref="A2:J42" xr:uid="{00000000-0001-0000-0000-000000000000}"/>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FF69-1632-4427-A8DE-96549ED326B2}">
  <dimension ref="A1:G31"/>
  <sheetViews>
    <sheetView workbookViewId="0">
      <selection activeCell="D11" sqref="D11:D13"/>
    </sheetView>
  </sheetViews>
  <sheetFormatPr defaultRowHeight="13" x14ac:dyDescent="0.2"/>
  <cols>
    <col min="1" max="1" width="5.1796875" customWidth="1"/>
    <col min="2" max="2" width="13.90625" bestFit="1" customWidth="1"/>
    <col min="3" max="3" width="34" customWidth="1"/>
    <col min="4" max="4" width="36.7265625" customWidth="1"/>
    <col min="5" max="5" width="32.08984375" customWidth="1"/>
    <col min="6" max="6" width="13.90625" customWidth="1"/>
    <col min="7" max="7" width="22" customWidth="1"/>
  </cols>
  <sheetData>
    <row r="1" spans="1:7" x14ac:dyDescent="0.2">
      <c r="A1" s="18" t="s">
        <v>373</v>
      </c>
      <c r="B1" s="18" t="s">
        <v>374</v>
      </c>
      <c r="C1" s="18" t="s">
        <v>375</v>
      </c>
      <c r="D1" s="18" t="s">
        <v>376</v>
      </c>
      <c r="E1" s="36" t="s">
        <v>377</v>
      </c>
      <c r="F1" s="18" t="s">
        <v>371</v>
      </c>
      <c r="G1" s="18" t="s">
        <v>378</v>
      </c>
    </row>
    <row r="2" spans="1:7" s="10" customFormat="1" ht="39" x14ac:dyDescent="0.2">
      <c r="A2" s="10">
        <v>1</v>
      </c>
      <c r="B2" s="10" t="s">
        <v>267</v>
      </c>
      <c r="C2" s="10" t="s">
        <v>379</v>
      </c>
      <c r="D2" s="10" t="s">
        <v>380</v>
      </c>
      <c r="E2" s="10" t="s">
        <v>381</v>
      </c>
      <c r="F2" s="10">
        <v>1.5</v>
      </c>
      <c r="G2" s="10" t="s">
        <v>382</v>
      </c>
    </row>
    <row r="3" spans="1:7" s="10" customFormat="1" ht="26" x14ac:dyDescent="0.2">
      <c r="A3" s="10">
        <v>2</v>
      </c>
      <c r="B3" s="10" t="s">
        <v>383</v>
      </c>
      <c r="C3" s="10" t="s">
        <v>384</v>
      </c>
      <c r="D3" s="10" t="s">
        <v>385</v>
      </c>
      <c r="E3" s="10" t="s">
        <v>386</v>
      </c>
      <c r="F3" s="10">
        <v>1.5</v>
      </c>
      <c r="G3" s="10" t="s">
        <v>387</v>
      </c>
    </row>
    <row r="4" spans="1:7" s="10" customFormat="1" ht="26" x14ac:dyDescent="0.2">
      <c r="A4" s="10">
        <v>3</v>
      </c>
      <c r="B4" s="10" t="s">
        <v>388</v>
      </c>
      <c r="C4" s="10" t="s">
        <v>389</v>
      </c>
      <c r="D4" s="10" t="s">
        <v>390</v>
      </c>
      <c r="E4" s="10" t="s">
        <v>391</v>
      </c>
      <c r="F4" s="10">
        <v>1.5</v>
      </c>
      <c r="G4" s="10" t="s">
        <v>392</v>
      </c>
    </row>
    <row r="5" spans="1:7" s="10" customFormat="1" ht="26" x14ac:dyDescent="0.2">
      <c r="A5" s="10">
        <v>4</v>
      </c>
      <c r="B5" s="10" t="s">
        <v>393</v>
      </c>
      <c r="C5" s="10" t="s">
        <v>394</v>
      </c>
      <c r="D5" s="10" t="s">
        <v>395</v>
      </c>
      <c r="E5" s="10" t="s">
        <v>396</v>
      </c>
      <c r="F5" s="10">
        <v>0.75</v>
      </c>
      <c r="G5" s="10" t="s">
        <v>397</v>
      </c>
    </row>
    <row r="6" spans="1:7" s="10" customFormat="1" ht="26" x14ac:dyDescent="0.2">
      <c r="A6" s="10">
        <v>5</v>
      </c>
      <c r="B6" s="10" t="s">
        <v>372</v>
      </c>
      <c r="C6" s="10" t="s">
        <v>398</v>
      </c>
      <c r="D6" s="10" t="s">
        <v>399</v>
      </c>
      <c r="E6" s="10" t="s">
        <v>400</v>
      </c>
      <c r="F6" s="10">
        <v>0.75</v>
      </c>
      <c r="G6" s="10" t="s">
        <v>401</v>
      </c>
    </row>
    <row r="7" spans="1:7" s="10" customFormat="1" ht="26" x14ac:dyDescent="0.2">
      <c r="A7" s="10">
        <v>6</v>
      </c>
      <c r="B7" s="10" t="s">
        <v>173</v>
      </c>
      <c r="C7" s="10" t="s">
        <v>402</v>
      </c>
      <c r="D7" s="10" t="s">
        <v>403</v>
      </c>
      <c r="E7" s="10" t="s">
        <v>404</v>
      </c>
      <c r="F7" s="10">
        <v>0.75</v>
      </c>
      <c r="G7" s="10" t="s">
        <v>405</v>
      </c>
    </row>
    <row r="8" spans="1:7" x14ac:dyDescent="0.2">
      <c r="F8" s="18">
        <f>SUM(F2:F7)</f>
        <v>6.75</v>
      </c>
    </row>
    <row r="10" spans="1:7" x14ac:dyDescent="0.2">
      <c r="A10" s="34" t="s">
        <v>373</v>
      </c>
      <c r="B10" s="34" t="s">
        <v>374</v>
      </c>
      <c r="C10" s="34" t="s">
        <v>375</v>
      </c>
      <c r="D10" s="34" t="s">
        <v>376</v>
      </c>
      <c r="E10" s="37" t="s">
        <v>406</v>
      </c>
      <c r="F10" s="34" t="s">
        <v>371</v>
      </c>
      <c r="G10" s="34" t="s">
        <v>378</v>
      </c>
    </row>
    <row r="11" spans="1:7" s="10" customFormat="1" ht="52" x14ac:dyDescent="0.2">
      <c r="A11" s="10">
        <v>1</v>
      </c>
      <c r="B11" s="10" t="s">
        <v>407</v>
      </c>
      <c r="C11" s="10" t="s">
        <v>408</v>
      </c>
      <c r="D11" s="10" t="s">
        <v>409</v>
      </c>
      <c r="E11" s="10" t="s">
        <v>410</v>
      </c>
      <c r="F11" s="10">
        <v>3.5</v>
      </c>
      <c r="G11" s="10" t="s">
        <v>411</v>
      </c>
    </row>
    <row r="12" spans="1:7" s="10" customFormat="1" ht="39" x14ac:dyDescent="0.2">
      <c r="A12" s="10">
        <v>2</v>
      </c>
      <c r="B12" s="10" t="s">
        <v>412</v>
      </c>
      <c r="C12" s="10" t="s">
        <v>413</v>
      </c>
      <c r="D12" s="10" t="s">
        <v>414</v>
      </c>
      <c r="E12" s="10" t="s">
        <v>415</v>
      </c>
      <c r="F12" s="10">
        <v>2.5</v>
      </c>
      <c r="G12" s="10" t="s">
        <v>416</v>
      </c>
    </row>
    <row r="13" spans="1:7" s="10" customFormat="1" ht="39" x14ac:dyDescent="0.2">
      <c r="A13" s="10">
        <v>3</v>
      </c>
      <c r="B13" s="10" t="s">
        <v>417</v>
      </c>
      <c r="C13" s="10" t="s">
        <v>418</v>
      </c>
      <c r="D13" s="10" t="s">
        <v>419</v>
      </c>
      <c r="E13" s="10" t="s">
        <v>420</v>
      </c>
      <c r="F13" s="10">
        <v>2.5</v>
      </c>
      <c r="G13" s="10" t="s">
        <v>421</v>
      </c>
    </row>
    <row r="14" spans="1:7" s="10" customFormat="1" ht="52" x14ac:dyDescent="0.2">
      <c r="A14" s="10">
        <v>4</v>
      </c>
      <c r="B14" s="10" t="s">
        <v>422</v>
      </c>
      <c r="C14" s="10" t="s">
        <v>423</v>
      </c>
      <c r="D14" s="10" t="s">
        <v>424</v>
      </c>
      <c r="E14" s="10" t="s">
        <v>425</v>
      </c>
      <c r="F14" s="10">
        <v>2</v>
      </c>
      <c r="G14" s="10" t="s">
        <v>426</v>
      </c>
    </row>
    <row r="15" spans="1:7" s="10" customFormat="1" ht="39" x14ac:dyDescent="0.2">
      <c r="A15" s="10">
        <v>5</v>
      </c>
      <c r="B15" s="10" t="s">
        <v>427</v>
      </c>
      <c r="C15" s="10" t="s">
        <v>428</v>
      </c>
      <c r="D15" s="10" t="s">
        <v>429</v>
      </c>
      <c r="E15" s="10" t="s">
        <v>430</v>
      </c>
      <c r="F15" s="10">
        <v>2</v>
      </c>
      <c r="G15" s="10" t="s">
        <v>431</v>
      </c>
    </row>
    <row r="16" spans="1:7" s="10" customFormat="1" ht="26" x14ac:dyDescent="0.2">
      <c r="A16" s="10">
        <v>6</v>
      </c>
      <c r="B16" s="10" t="s">
        <v>432</v>
      </c>
      <c r="C16" s="10" t="s">
        <v>433</v>
      </c>
      <c r="D16" s="10" t="s">
        <v>434</v>
      </c>
      <c r="E16" s="10" t="s">
        <v>435</v>
      </c>
      <c r="F16" s="10">
        <v>1.5</v>
      </c>
      <c r="G16" s="10" t="s">
        <v>436</v>
      </c>
    </row>
    <row r="17" spans="1:7" s="10" customFormat="1" ht="39" x14ac:dyDescent="0.2">
      <c r="A17" s="10">
        <v>7</v>
      </c>
      <c r="B17" s="10" t="s">
        <v>281</v>
      </c>
      <c r="C17" s="10" t="s">
        <v>437</v>
      </c>
      <c r="D17" s="10" t="s">
        <v>438</v>
      </c>
      <c r="E17" s="10" t="s">
        <v>439</v>
      </c>
      <c r="F17" s="10">
        <v>1</v>
      </c>
      <c r="G17" s="10" t="s">
        <v>440</v>
      </c>
    </row>
    <row r="18" spans="1:7" s="10" customFormat="1" ht="39" x14ac:dyDescent="0.2">
      <c r="A18" s="10">
        <v>8</v>
      </c>
      <c r="B18" s="10" t="s">
        <v>441</v>
      </c>
      <c r="C18" s="10" t="s">
        <v>393</v>
      </c>
      <c r="D18" s="10" t="s">
        <v>442</v>
      </c>
      <c r="E18" s="10" t="s">
        <v>443</v>
      </c>
      <c r="F18" s="10">
        <v>1</v>
      </c>
      <c r="G18" s="10" t="s">
        <v>444</v>
      </c>
    </row>
    <row r="19" spans="1:7" s="10" customFormat="1" ht="26" x14ac:dyDescent="0.2">
      <c r="A19" s="10">
        <v>9</v>
      </c>
      <c r="B19" s="10" t="s">
        <v>445</v>
      </c>
      <c r="C19" s="10" t="s">
        <v>446</v>
      </c>
      <c r="D19" s="10" t="s">
        <v>447</v>
      </c>
      <c r="E19" s="10" t="s">
        <v>448</v>
      </c>
      <c r="F19" s="10">
        <v>1</v>
      </c>
      <c r="G19" s="10" t="s">
        <v>449</v>
      </c>
    </row>
    <row r="20" spans="1:7" s="10" customFormat="1" ht="39" x14ac:dyDescent="0.2">
      <c r="A20" s="10">
        <v>10</v>
      </c>
      <c r="B20" s="10" t="s">
        <v>450</v>
      </c>
      <c r="C20" s="10" t="s">
        <v>408</v>
      </c>
      <c r="D20" s="10" t="s">
        <v>451</v>
      </c>
      <c r="E20" s="10" t="s">
        <v>452</v>
      </c>
      <c r="F20" s="10">
        <v>2</v>
      </c>
      <c r="G20" s="10" t="s">
        <v>453</v>
      </c>
    </row>
    <row r="21" spans="1:7" s="10" customFormat="1" ht="39" x14ac:dyDescent="0.2">
      <c r="A21" s="10">
        <v>11</v>
      </c>
      <c r="B21" s="10" t="s">
        <v>454</v>
      </c>
      <c r="C21" s="10" t="s">
        <v>455</v>
      </c>
      <c r="D21" s="10" t="s">
        <v>456</v>
      </c>
      <c r="E21" s="10" t="s">
        <v>457</v>
      </c>
      <c r="F21" s="10">
        <v>2</v>
      </c>
      <c r="G21" s="10" t="s">
        <v>458</v>
      </c>
    </row>
    <row r="22" spans="1:7" s="10" customFormat="1" ht="39" x14ac:dyDescent="0.2">
      <c r="A22" s="10">
        <v>12</v>
      </c>
      <c r="B22" s="10" t="s">
        <v>459</v>
      </c>
      <c r="C22" s="10" t="s">
        <v>460</v>
      </c>
      <c r="D22" s="10" t="s">
        <v>461</v>
      </c>
      <c r="E22" s="10" t="s">
        <v>462</v>
      </c>
      <c r="F22" s="10">
        <v>1.5</v>
      </c>
      <c r="G22" s="10" t="s">
        <v>463</v>
      </c>
    </row>
    <row r="23" spans="1:7" s="10" customFormat="1" ht="39" x14ac:dyDescent="0.2">
      <c r="A23" s="10">
        <v>13</v>
      </c>
      <c r="B23" s="10" t="s">
        <v>464</v>
      </c>
      <c r="C23" s="10" t="s">
        <v>293</v>
      </c>
      <c r="D23" s="10" t="s">
        <v>465</v>
      </c>
      <c r="E23" s="10" t="s">
        <v>466</v>
      </c>
      <c r="F23" s="10">
        <v>0.5</v>
      </c>
      <c r="G23" s="10" t="s">
        <v>467</v>
      </c>
    </row>
    <row r="24" spans="1:7" s="10" customFormat="1" ht="26" x14ac:dyDescent="0.2">
      <c r="A24" s="10">
        <v>14</v>
      </c>
      <c r="B24" s="10" t="s">
        <v>468</v>
      </c>
      <c r="C24" s="10" t="s">
        <v>469</v>
      </c>
      <c r="D24" s="10" t="s">
        <v>470</v>
      </c>
      <c r="E24" s="10" t="s">
        <v>471</v>
      </c>
      <c r="F24" s="10">
        <v>1</v>
      </c>
      <c r="G24" s="10" t="s">
        <v>472</v>
      </c>
    </row>
    <row r="25" spans="1:7" s="10" customFormat="1" ht="26" x14ac:dyDescent="0.2">
      <c r="A25" s="10">
        <v>15</v>
      </c>
      <c r="B25" s="10" t="s">
        <v>473</v>
      </c>
      <c r="C25" s="10" t="s">
        <v>280</v>
      </c>
      <c r="D25" s="10" t="s">
        <v>280</v>
      </c>
      <c r="E25" s="10" t="s">
        <v>474</v>
      </c>
      <c r="F25" s="10">
        <v>2.5</v>
      </c>
      <c r="G25" s="10" t="s">
        <v>475</v>
      </c>
    </row>
    <row r="26" spans="1:7" x14ac:dyDescent="0.2">
      <c r="F26" s="34">
        <f>SUM(F11:F25)</f>
        <v>26.5</v>
      </c>
    </row>
    <row r="28" spans="1:7" x14ac:dyDescent="0.2">
      <c r="E28" s="10" t="s">
        <v>476</v>
      </c>
      <c r="F28" s="10">
        <v>87</v>
      </c>
      <c r="G28" s="10" t="s">
        <v>477</v>
      </c>
    </row>
    <row r="29" spans="1:7" x14ac:dyDescent="0.2">
      <c r="E29" s="10" t="s">
        <v>478</v>
      </c>
      <c r="F29">
        <f>F8</f>
        <v>6.75</v>
      </c>
      <c r="G29" s="10" t="s">
        <v>477</v>
      </c>
    </row>
    <row r="30" spans="1:7" x14ac:dyDescent="0.2">
      <c r="E30" s="10" t="s">
        <v>479</v>
      </c>
      <c r="F30">
        <f>F26</f>
        <v>26.5</v>
      </c>
      <c r="G30" s="10" t="s">
        <v>477</v>
      </c>
    </row>
    <row r="31" spans="1:7" x14ac:dyDescent="0.2">
      <c r="E31" s="10" t="s">
        <v>480</v>
      </c>
      <c r="F31" s="35">
        <f>F28+F30-F29</f>
        <v>106.75</v>
      </c>
      <c r="G31" s="10" t="s">
        <v>477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pane ySplit="1" topLeftCell="A2" activePane="bottomLeft" state="frozen"/>
      <selection pane="bottomLeft" activeCell="C15" sqref="C15"/>
    </sheetView>
  </sheetViews>
  <sheetFormatPr defaultRowHeight="13" x14ac:dyDescent="0.2"/>
  <cols>
    <col min="1" max="1" width="14" customWidth="1"/>
    <col min="2" max="2" width="42" customWidth="1"/>
    <col min="3" max="3" width="40" customWidth="1"/>
    <col min="4" max="4" width="46" customWidth="1"/>
  </cols>
  <sheetData>
    <row r="1" spans="1:4" x14ac:dyDescent="0.2">
      <c r="A1" s="1" t="s">
        <v>5</v>
      </c>
      <c r="B1" s="1" t="s">
        <v>181</v>
      </c>
      <c r="C1" s="1" t="s">
        <v>182</v>
      </c>
      <c r="D1" s="1" t="s">
        <v>183</v>
      </c>
    </row>
    <row r="2" spans="1:4" ht="39" x14ac:dyDescent="0.2">
      <c r="A2" s="5" t="s">
        <v>10</v>
      </c>
      <c r="B2" s="2" t="s">
        <v>184</v>
      </c>
      <c r="C2" s="2" t="s">
        <v>185</v>
      </c>
      <c r="D2" s="2" t="s">
        <v>186</v>
      </c>
    </row>
    <row r="3" spans="1:4" ht="39" x14ac:dyDescent="0.2">
      <c r="A3" s="6" t="s">
        <v>20</v>
      </c>
      <c r="B3" s="2" t="s">
        <v>187</v>
      </c>
      <c r="C3" s="2" t="s">
        <v>188</v>
      </c>
      <c r="D3" s="2" t="s">
        <v>189</v>
      </c>
    </row>
    <row r="4" spans="1:4" ht="39" x14ac:dyDescent="0.2">
      <c r="A4" s="7" t="s">
        <v>42</v>
      </c>
      <c r="B4" s="2" t="s">
        <v>190</v>
      </c>
      <c r="C4" s="2" t="s">
        <v>191</v>
      </c>
      <c r="D4" s="2" t="s">
        <v>192</v>
      </c>
    </row>
    <row r="5" spans="1:4" ht="39" x14ac:dyDescent="0.2">
      <c r="A5" s="8" t="s">
        <v>12</v>
      </c>
      <c r="B5" s="2" t="s">
        <v>193</v>
      </c>
      <c r="C5" s="2" t="s">
        <v>194</v>
      </c>
      <c r="D5" s="2" t="s">
        <v>195</v>
      </c>
    </row>
    <row r="6" spans="1:4" ht="52" x14ac:dyDescent="0.2">
      <c r="A6" s="9" t="s">
        <v>148</v>
      </c>
      <c r="B6" s="2" t="s">
        <v>196</v>
      </c>
      <c r="C6" s="2" t="s">
        <v>197</v>
      </c>
      <c r="D6" s="2" t="s">
        <v>198</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53D5-1822-4F22-8E72-B31083CC9033}">
  <dimension ref="A1:E36"/>
  <sheetViews>
    <sheetView topLeftCell="A9" zoomScale="130" zoomScaleNormal="130" workbookViewId="0">
      <selection activeCell="D37" sqref="D37"/>
    </sheetView>
  </sheetViews>
  <sheetFormatPr defaultRowHeight="13" x14ac:dyDescent="0.2"/>
  <cols>
    <col min="1" max="1" width="8.6328125" bestFit="1" customWidth="1"/>
    <col min="2" max="2" width="23.36328125" customWidth="1"/>
    <col min="3" max="3" width="43" customWidth="1"/>
    <col min="4" max="4" width="49.54296875" style="10" customWidth="1"/>
    <col min="5" max="5" width="33.1796875" style="16" customWidth="1"/>
  </cols>
  <sheetData>
    <row r="1" spans="1:5" x14ac:dyDescent="0.2">
      <c r="A1" s="11" t="s">
        <v>251</v>
      </c>
      <c r="B1" s="11" t="s">
        <v>252</v>
      </c>
      <c r="C1" s="11" t="s">
        <v>253</v>
      </c>
      <c r="D1" s="11" t="s">
        <v>301</v>
      </c>
    </row>
    <row r="2" spans="1:5" x14ac:dyDescent="0.2">
      <c r="A2" s="38" t="s">
        <v>254</v>
      </c>
      <c r="B2" s="38" t="s">
        <v>255</v>
      </c>
      <c r="C2" s="12" t="s">
        <v>256</v>
      </c>
    </row>
    <row r="3" spans="1:5" x14ac:dyDescent="0.2">
      <c r="A3" s="38"/>
      <c r="B3" s="38"/>
      <c r="C3" s="13" t="s">
        <v>257</v>
      </c>
    </row>
    <row r="4" spans="1:5" x14ac:dyDescent="0.2">
      <c r="A4" s="38"/>
      <c r="B4" s="38"/>
      <c r="C4" s="13" t="s">
        <v>258</v>
      </c>
      <c r="D4" s="10" t="s">
        <v>311</v>
      </c>
    </row>
    <row r="5" spans="1:5" ht="65" x14ac:dyDescent="0.2">
      <c r="A5" s="38"/>
      <c r="B5" s="38"/>
      <c r="C5" s="14" t="s">
        <v>259</v>
      </c>
      <c r="D5" s="10" t="s">
        <v>302</v>
      </c>
      <c r="E5" s="16" t="s">
        <v>313</v>
      </c>
    </row>
    <row r="6" spans="1:5" x14ac:dyDescent="0.2">
      <c r="A6" s="38" t="s">
        <v>260</v>
      </c>
      <c r="B6" s="38" t="s">
        <v>261</v>
      </c>
      <c r="C6" s="13" t="s">
        <v>262</v>
      </c>
    </row>
    <row r="7" spans="1:5" x14ac:dyDescent="0.2">
      <c r="A7" s="38"/>
      <c r="B7" s="38"/>
      <c r="C7" s="12" t="s">
        <v>263</v>
      </c>
    </row>
    <row r="8" spans="1:5" x14ac:dyDescent="0.2">
      <c r="A8" s="38"/>
      <c r="B8" s="38"/>
      <c r="C8" s="13" t="s">
        <v>264</v>
      </c>
    </row>
    <row r="9" spans="1:5" ht="39" x14ac:dyDescent="0.2">
      <c r="A9" s="38"/>
      <c r="B9" s="38"/>
      <c r="C9" s="14" t="s">
        <v>265</v>
      </c>
      <c r="D9" s="10" t="s">
        <v>314</v>
      </c>
    </row>
    <row r="10" spans="1:5" x14ac:dyDescent="0.2">
      <c r="A10" s="38"/>
      <c r="B10" s="38"/>
      <c r="C10" s="14" t="s">
        <v>266</v>
      </c>
    </row>
    <row r="11" spans="1:5" x14ac:dyDescent="0.2">
      <c r="A11" s="38" t="s">
        <v>96</v>
      </c>
      <c r="B11" s="12" t="s">
        <v>267</v>
      </c>
      <c r="C11" s="12" t="s">
        <v>269</v>
      </c>
    </row>
    <row r="12" spans="1:5" x14ac:dyDescent="0.2">
      <c r="A12" s="38"/>
      <c r="B12" s="14" t="s">
        <v>268</v>
      </c>
      <c r="C12" s="13" t="s">
        <v>270</v>
      </c>
      <c r="D12" s="10" t="s">
        <v>303</v>
      </c>
    </row>
    <row r="13" spans="1:5" x14ac:dyDescent="0.2">
      <c r="A13" s="38"/>
      <c r="B13" s="12"/>
      <c r="C13" s="13" t="s">
        <v>271</v>
      </c>
      <c r="D13" s="10" t="s">
        <v>303</v>
      </c>
    </row>
    <row r="14" spans="1:5" x14ac:dyDescent="0.2">
      <c r="A14" s="38"/>
      <c r="B14" s="12"/>
      <c r="C14" s="13" t="s">
        <v>272</v>
      </c>
      <c r="D14" s="10" t="s">
        <v>304</v>
      </c>
    </row>
    <row r="15" spans="1:5" x14ac:dyDescent="0.2">
      <c r="A15" s="38"/>
      <c r="B15" s="12"/>
      <c r="C15" s="13" t="s">
        <v>273</v>
      </c>
      <c r="D15" s="10" t="s">
        <v>304</v>
      </c>
    </row>
    <row r="16" spans="1:5" x14ac:dyDescent="0.2">
      <c r="A16" s="38" t="s">
        <v>274</v>
      </c>
      <c r="B16" s="38" t="s">
        <v>275</v>
      </c>
      <c r="C16" s="12" t="s">
        <v>276</v>
      </c>
      <c r="D16" s="10" t="s">
        <v>310</v>
      </c>
    </row>
    <row r="17" spans="1:4" x14ac:dyDescent="0.2">
      <c r="A17" s="38"/>
      <c r="B17" s="38"/>
      <c r="C17" s="12" t="s">
        <v>277</v>
      </c>
    </row>
    <row r="18" spans="1:4" ht="26" x14ac:dyDescent="0.2">
      <c r="A18" s="38"/>
      <c r="B18" s="38"/>
      <c r="C18" s="14" t="s">
        <v>278</v>
      </c>
      <c r="D18" s="10" t="s">
        <v>305</v>
      </c>
    </row>
    <row r="19" spans="1:4" x14ac:dyDescent="0.2">
      <c r="A19" s="38" t="s">
        <v>279</v>
      </c>
      <c r="B19" s="38" t="s">
        <v>280</v>
      </c>
      <c r="C19" s="12" t="s">
        <v>281</v>
      </c>
    </row>
    <row r="20" spans="1:4" ht="26" x14ac:dyDescent="0.2">
      <c r="A20" s="38"/>
      <c r="B20" s="38"/>
      <c r="C20" s="14" t="s">
        <v>282</v>
      </c>
      <c r="D20" s="10" t="s">
        <v>306</v>
      </c>
    </row>
    <row r="21" spans="1:4" ht="39" x14ac:dyDescent="0.2">
      <c r="A21" s="38" t="s">
        <v>283</v>
      </c>
      <c r="B21" s="38" t="s">
        <v>280</v>
      </c>
      <c r="C21" s="15" t="s">
        <v>284</v>
      </c>
      <c r="D21" s="10" t="s">
        <v>307</v>
      </c>
    </row>
    <row r="22" spans="1:4" x14ac:dyDescent="0.2">
      <c r="A22" s="38"/>
      <c r="B22" s="38"/>
      <c r="C22" s="12" t="s">
        <v>285</v>
      </c>
    </row>
    <row r="23" spans="1:4" x14ac:dyDescent="0.2">
      <c r="A23" s="38"/>
      <c r="B23" s="38"/>
      <c r="C23" s="14" t="s">
        <v>286</v>
      </c>
    </row>
    <row r="24" spans="1:4" x14ac:dyDescent="0.2">
      <c r="A24" s="38"/>
      <c r="B24" s="38"/>
      <c r="C24" s="14" t="s">
        <v>287</v>
      </c>
    </row>
    <row r="25" spans="1:4" x14ac:dyDescent="0.2">
      <c r="A25" s="38"/>
      <c r="B25" s="38"/>
      <c r="C25" s="14" t="s">
        <v>288</v>
      </c>
    </row>
    <row r="26" spans="1:4" x14ac:dyDescent="0.2">
      <c r="A26" s="38"/>
      <c r="B26" s="38"/>
      <c r="C26" s="12" t="s">
        <v>289</v>
      </c>
    </row>
    <row r="27" spans="1:4" x14ac:dyDescent="0.2">
      <c r="A27" s="38"/>
      <c r="B27" s="38"/>
      <c r="C27" s="14" t="s">
        <v>290</v>
      </c>
    </row>
    <row r="28" spans="1:4" ht="26" x14ac:dyDescent="0.2">
      <c r="A28" s="38"/>
      <c r="B28" s="38"/>
      <c r="C28" s="14" t="s">
        <v>291</v>
      </c>
    </row>
    <row r="29" spans="1:4" x14ac:dyDescent="0.2">
      <c r="A29" s="12" t="s">
        <v>292</v>
      </c>
      <c r="B29" s="12" t="s">
        <v>293</v>
      </c>
      <c r="C29" s="12" t="s">
        <v>294</v>
      </c>
      <c r="D29" s="10" t="s">
        <v>308</v>
      </c>
    </row>
    <row r="30" spans="1:4" x14ac:dyDescent="0.2">
      <c r="A30" s="12" t="s">
        <v>295</v>
      </c>
      <c r="B30" s="12" t="s">
        <v>296</v>
      </c>
      <c r="C30" s="12" t="s">
        <v>297</v>
      </c>
    </row>
    <row r="31" spans="1:4" x14ac:dyDescent="0.2">
      <c r="A31" s="12" t="s">
        <v>298</v>
      </c>
      <c r="B31" s="12" t="s">
        <v>299</v>
      </c>
      <c r="C31" s="12" t="s">
        <v>300</v>
      </c>
    </row>
    <row r="32" spans="1:4" x14ac:dyDescent="0.2">
      <c r="B32" s="12" t="s">
        <v>316</v>
      </c>
      <c r="C32" s="12" t="s">
        <v>309</v>
      </c>
    </row>
    <row r="33" spans="2:4" x14ac:dyDescent="0.2">
      <c r="B33" s="12" t="s">
        <v>317</v>
      </c>
      <c r="C33" s="12" t="s">
        <v>318</v>
      </c>
    </row>
    <row r="34" spans="2:4" ht="42" customHeight="1" x14ac:dyDescent="0.2">
      <c r="C34" s="12"/>
    </row>
    <row r="36" spans="2:4" ht="26" x14ac:dyDescent="0.2">
      <c r="D36" s="12" t="s">
        <v>319</v>
      </c>
    </row>
  </sheetData>
  <mergeCells count="11">
    <mergeCell ref="A19:A20"/>
    <mergeCell ref="B19:B20"/>
    <mergeCell ref="A21:A28"/>
    <mergeCell ref="B21:B28"/>
    <mergeCell ref="A2:A5"/>
    <mergeCell ref="B2:B5"/>
    <mergeCell ref="A6:A10"/>
    <mergeCell ref="B6:B10"/>
    <mergeCell ref="A11:A15"/>
    <mergeCell ref="A16:A18"/>
    <mergeCell ref="B16:B18"/>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33BD-26DA-40B9-BDBB-8A04C5BE3403}">
  <dimension ref="A1:AE5"/>
  <sheetViews>
    <sheetView workbookViewId="0">
      <selection activeCell="T13" sqref="T13"/>
    </sheetView>
  </sheetViews>
  <sheetFormatPr defaultRowHeight="13" x14ac:dyDescent="0.2"/>
  <cols>
    <col min="1" max="1" width="14.54296875" style="16" bestFit="1" customWidth="1"/>
    <col min="2" max="31" width="6.7265625" customWidth="1"/>
  </cols>
  <sheetData>
    <row r="1" spans="1:31" x14ac:dyDescent="0.2">
      <c r="A1" s="28" t="s">
        <v>357</v>
      </c>
      <c r="B1" s="40" t="s">
        <v>358</v>
      </c>
      <c r="C1" s="40"/>
      <c r="D1" s="40"/>
      <c r="E1" s="40"/>
      <c r="F1" s="40"/>
      <c r="G1" s="40" t="s">
        <v>359</v>
      </c>
      <c r="H1" s="40"/>
      <c r="I1" s="40"/>
      <c r="J1" s="40"/>
      <c r="K1" s="40"/>
      <c r="L1" s="40" t="s">
        <v>360</v>
      </c>
      <c r="M1" s="40"/>
      <c r="N1" s="40"/>
      <c r="O1" s="40"/>
      <c r="P1" s="40"/>
      <c r="Q1" s="40" t="s">
        <v>361</v>
      </c>
      <c r="R1" s="40"/>
      <c r="S1" s="40"/>
      <c r="T1" s="40"/>
      <c r="U1" s="40"/>
      <c r="V1" s="40" t="s">
        <v>362</v>
      </c>
      <c r="W1" s="40"/>
      <c r="X1" s="40"/>
      <c r="Y1" s="40"/>
      <c r="Z1" s="41"/>
      <c r="AA1" s="39" t="s">
        <v>363</v>
      </c>
      <c r="AB1" s="39"/>
      <c r="AC1" s="39"/>
      <c r="AD1" s="39"/>
      <c r="AE1" s="39"/>
    </row>
    <row r="2" spans="1:31" ht="13.5" thickBot="1" x14ac:dyDescent="0.25">
      <c r="A2" s="29"/>
      <c r="B2" s="26" t="s">
        <v>364</v>
      </c>
      <c r="C2" s="26" t="s">
        <v>365</v>
      </c>
      <c r="D2" s="26" t="s">
        <v>366</v>
      </c>
      <c r="E2" s="26" t="s">
        <v>367</v>
      </c>
      <c r="F2" s="26" t="s">
        <v>368</v>
      </c>
      <c r="G2" s="26" t="s">
        <v>364</v>
      </c>
      <c r="H2" s="26" t="s">
        <v>365</v>
      </c>
      <c r="I2" s="26" t="s">
        <v>366</v>
      </c>
      <c r="J2" s="26" t="s">
        <v>367</v>
      </c>
      <c r="K2" s="26" t="s">
        <v>368</v>
      </c>
      <c r="L2" s="26" t="s">
        <v>364</v>
      </c>
      <c r="M2" s="26" t="s">
        <v>365</v>
      </c>
      <c r="N2" s="26" t="s">
        <v>366</v>
      </c>
      <c r="O2" s="26" t="s">
        <v>367</v>
      </c>
      <c r="P2" s="26" t="s">
        <v>368</v>
      </c>
      <c r="Q2" s="26" t="s">
        <v>364</v>
      </c>
      <c r="R2" s="26" t="s">
        <v>365</v>
      </c>
      <c r="S2" s="26" t="s">
        <v>366</v>
      </c>
      <c r="T2" s="26" t="s">
        <v>367</v>
      </c>
      <c r="U2" s="26" t="s">
        <v>368</v>
      </c>
      <c r="V2" s="26" t="s">
        <v>364</v>
      </c>
      <c r="W2" s="26" t="s">
        <v>365</v>
      </c>
      <c r="X2" s="26" t="s">
        <v>366</v>
      </c>
      <c r="Y2" s="26" t="s">
        <v>367</v>
      </c>
      <c r="Z2" s="27" t="s">
        <v>368</v>
      </c>
      <c r="AA2" t="s">
        <v>364</v>
      </c>
      <c r="AB2" t="s">
        <v>365</v>
      </c>
      <c r="AC2" t="s">
        <v>366</v>
      </c>
      <c r="AD2" t="s">
        <v>367</v>
      </c>
      <c r="AE2" t="s">
        <v>368</v>
      </c>
    </row>
    <row r="3" spans="1:31" ht="128.5" customHeight="1" x14ac:dyDescent="0.2">
      <c r="A3" s="30" t="s">
        <v>369</v>
      </c>
      <c r="Z3" s="25"/>
    </row>
    <row r="4" spans="1:31" ht="125" customHeight="1" thickBot="1" x14ac:dyDescent="0.25">
      <c r="A4" s="30" t="s">
        <v>370</v>
      </c>
      <c r="Z4" s="25"/>
    </row>
    <row r="5" spans="1:31" ht="144.5" customHeight="1" thickBot="1" x14ac:dyDescent="0.25">
      <c r="A5" s="31" t="s">
        <v>355</v>
      </c>
      <c r="B5" s="32"/>
      <c r="C5" s="32"/>
      <c r="D5" s="32"/>
      <c r="E5" s="32"/>
      <c r="F5" s="32"/>
      <c r="G5" s="32"/>
      <c r="H5" s="32"/>
      <c r="I5" s="32"/>
      <c r="J5" s="32"/>
      <c r="K5" s="32"/>
      <c r="L5" s="32"/>
      <c r="M5" s="32"/>
      <c r="N5" s="32"/>
      <c r="O5" s="32"/>
      <c r="P5" s="32"/>
      <c r="Q5" s="32"/>
      <c r="R5" s="32"/>
      <c r="S5" s="32"/>
      <c r="T5" s="32"/>
      <c r="U5" s="32"/>
      <c r="V5" s="32"/>
      <c r="W5" s="32"/>
      <c r="X5" s="32"/>
      <c r="Y5" s="32"/>
      <c r="Z5" s="33"/>
    </row>
  </sheetData>
  <mergeCells count="6">
    <mergeCell ref="AA1:AE1"/>
    <mergeCell ref="B1:F1"/>
    <mergeCell ref="G1:K1"/>
    <mergeCell ref="L1:P1"/>
    <mergeCell ref="Q1:U1"/>
    <mergeCell ref="V1:Z1"/>
  </mergeCells>
  <phoneticPr fontId="2"/>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73A7-C294-4795-98D2-6157738D700D}">
  <dimension ref="A1:CY11"/>
  <sheetViews>
    <sheetView workbookViewId="0">
      <pane xSplit="2" ySplit="3" topLeftCell="C4" activePane="bottomRight" state="frozen"/>
      <selection pane="topRight" activeCell="C1" sqref="C1"/>
      <selection pane="bottomLeft" activeCell="A4" sqref="A4"/>
      <selection pane="bottomRight" activeCell="B4" sqref="B4"/>
    </sheetView>
  </sheetViews>
  <sheetFormatPr defaultRowHeight="13" x14ac:dyDescent="0.2"/>
  <cols>
    <col min="1" max="1" width="26.81640625" style="16" customWidth="1"/>
    <col min="2" max="2" width="41.453125" style="16" customWidth="1"/>
    <col min="3" max="9" width="5.6328125" customWidth="1"/>
    <col min="10" max="12" width="5.6328125" style="17" customWidth="1"/>
    <col min="13" max="14" width="5.6328125" customWidth="1"/>
    <col min="15" max="17" width="5.6328125" style="17" customWidth="1"/>
    <col min="18" max="35" width="5.6328125" customWidth="1"/>
    <col min="36" max="61" width="5.6328125" style="16" customWidth="1"/>
    <col min="62" max="63" width="5.6328125" customWidth="1"/>
    <col min="64" max="72" width="5.6328125" style="16" customWidth="1"/>
    <col min="73" max="91" width="5.6328125" customWidth="1"/>
    <col min="92" max="92" width="5.6328125" style="17" customWidth="1"/>
    <col min="93" max="103" width="5.6328125" customWidth="1"/>
  </cols>
  <sheetData>
    <row r="1" spans="1:103" x14ac:dyDescent="0.2">
      <c r="C1" t="s">
        <v>327</v>
      </c>
      <c r="L1" s="17" t="s">
        <v>328</v>
      </c>
      <c r="AQ1" s="16" t="s">
        <v>329</v>
      </c>
      <c r="BU1" t="s">
        <v>330</v>
      </c>
    </row>
    <row r="2" spans="1:103" x14ac:dyDescent="0.2">
      <c r="C2">
        <v>22</v>
      </c>
      <c r="D2">
        <v>23</v>
      </c>
      <c r="E2">
        <v>24</v>
      </c>
      <c r="F2">
        <v>25</v>
      </c>
      <c r="G2">
        <v>26</v>
      </c>
      <c r="H2">
        <v>27</v>
      </c>
      <c r="I2">
        <v>28</v>
      </c>
      <c r="J2" s="17">
        <v>29</v>
      </c>
      <c r="K2" s="17">
        <v>30</v>
      </c>
      <c r="L2" s="17">
        <v>1</v>
      </c>
      <c r="M2">
        <v>2</v>
      </c>
      <c r="N2">
        <v>3</v>
      </c>
      <c r="O2" s="17">
        <v>4</v>
      </c>
      <c r="P2" s="17">
        <v>5</v>
      </c>
      <c r="Q2" s="17">
        <v>6</v>
      </c>
      <c r="R2">
        <v>7</v>
      </c>
      <c r="S2">
        <v>8</v>
      </c>
      <c r="T2">
        <v>9</v>
      </c>
      <c r="U2">
        <v>10</v>
      </c>
      <c r="V2">
        <v>11</v>
      </c>
      <c r="W2">
        <v>12</v>
      </c>
      <c r="X2">
        <v>13</v>
      </c>
      <c r="Y2">
        <v>14</v>
      </c>
      <c r="Z2">
        <v>15</v>
      </c>
      <c r="AA2">
        <v>16</v>
      </c>
      <c r="AB2">
        <v>17</v>
      </c>
      <c r="AC2">
        <v>18</v>
      </c>
      <c r="AD2">
        <v>19</v>
      </c>
      <c r="AE2">
        <v>20</v>
      </c>
      <c r="AF2">
        <v>21</v>
      </c>
      <c r="AG2">
        <v>22</v>
      </c>
      <c r="AH2">
        <v>23</v>
      </c>
      <c r="AI2">
        <v>24</v>
      </c>
      <c r="AJ2" s="16">
        <v>25</v>
      </c>
      <c r="AK2" s="16">
        <v>26</v>
      </c>
      <c r="AL2" s="16">
        <v>27</v>
      </c>
      <c r="AM2" s="16">
        <v>28</v>
      </c>
      <c r="AN2" s="16">
        <v>29</v>
      </c>
      <c r="AO2" s="16">
        <v>30</v>
      </c>
      <c r="AP2" s="16">
        <v>31</v>
      </c>
      <c r="AQ2" s="16">
        <v>1</v>
      </c>
      <c r="AR2" s="16">
        <v>2</v>
      </c>
      <c r="AS2" s="16">
        <v>3</v>
      </c>
      <c r="AT2" s="16">
        <v>4</v>
      </c>
      <c r="AU2" s="16">
        <v>5</v>
      </c>
      <c r="AV2" s="16">
        <v>6</v>
      </c>
      <c r="AW2" s="16">
        <v>7</v>
      </c>
      <c r="AX2" s="16">
        <v>8</v>
      </c>
      <c r="AY2" s="16">
        <v>9</v>
      </c>
      <c r="AZ2" s="16">
        <v>10</v>
      </c>
      <c r="BA2" s="16">
        <v>11</v>
      </c>
      <c r="BB2" s="16">
        <v>12</v>
      </c>
      <c r="BC2" s="16">
        <v>13</v>
      </c>
      <c r="BD2" s="16">
        <v>14</v>
      </c>
      <c r="BE2" s="16">
        <v>15</v>
      </c>
      <c r="BF2" s="16">
        <v>16</v>
      </c>
      <c r="BG2" s="16">
        <v>17</v>
      </c>
      <c r="BH2" s="16">
        <v>18</v>
      </c>
      <c r="BI2" s="16">
        <v>19</v>
      </c>
      <c r="BJ2">
        <v>20</v>
      </c>
      <c r="BK2">
        <v>21</v>
      </c>
      <c r="BL2" s="16">
        <v>22</v>
      </c>
      <c r="BM2" s="16">
        <v>23</v>
      </c>
      <c r="BN2" s="16">
        <v>24</v>
      </c>
      <c r="BO2" s="16">
        <v>25</v>
      </c>
      <c r="BP2" s="16">
        <v>26</v>
      </c>
      <c r="BQ2" s="16">
        <v>27</v>
      </c>
      <c r="BR2" s="16">
        <v>28</v>
      </c>
      <c r="BS2" s="16">
        <v>29</v>
      </c>
      <c r="BT2" s="16">
        <v>30</v>
      </c>
      <c r="BU2">
        <v>1</v>
      </c>
      <c r="BV2">
        <v>2</v>
      </c>
      <c r="BW2">
        <v>3</v>
      </c>
      <c r="BX2">
        <v>4</v>
      </c>
      <c r="BY2">
        <v>5</v>
      </c>
      <c r="BZ2">
        <v>6</v>
      </c>
      <c r="CA2">
        <v>7</v>
      </c>
      <c r="CB2">
        <v>8</v>
      </c>
      <c r="CC2">
        <v>9</v>
      </c>
      <c r="CD2">
        <v>10</v>
      </c>
      <c r="CE2">
        <v>11</v>
      </c>
      <c r="CF2">
        <v>12</v>
      </c>
      <c r="CG2">
        <v>13</v>
      </c>
      <c r="CH2">
        <v>14</v>
      </c>
      <c r="CI2">
        <v>15</v>
      </c>
      <c r="CJ2">
        <v>16</v>
      </c>
      <c r="CK2">
        <v>17</v>
      </c>
      <c r="CL2">
        <v>18</v>
      </c>
      <c r="CM2">
        <v>19</v>
      </c>
      <c r="CN2" s="17">
        <v>20</v>
      </c>
      <c r="CO2">
        <v>21</v>
      </c>
      <c r="CP2">
        <v>22</v>
      </c>
      <c r="CQ2">
        <v>23</v>
      </c>
      <c r="CR2">
        <v>24</v>
      </c>
      <c r="CS2">
        <v>25</v>
      </c>
      <c r="CT2">
        <v>26</v>
      </c>
      <c r="CU2">
        <v>27</v>
      </c>
      <c r="CV2">
        <v>28</v>
      </c>
      <c r="CW2">
        <v>29</v>
      </c>
      <c r="CX2">
        <v>30</v>
      </c>
      <c r="CY2">
        <v>31</v>
      </c>
    </row>
    <row r="3" spans="1:103" x14ac:dyDescent="0.2">
      <c r="C3" t="s">
        <v>332</v>
      </c>
      <c r="D3" t="s">
        <v>334</v>
      </c>
      <c r="E3" t="s">
        <v>335</v>
      </c>
      <c r="F3" t="s">
        <v>336</v>
      </c>
      <c r="G3" t="s">
        <v>337</v>
      </c>
      <c r="H3" t="s">
        <v>338</v>
      </c>
      <c r="I3" t="s">
        <v>339</v>
      </c>
      <c r="J3" s="17" t="s">
        <v>331</v>
      </c>
      <c r="K3" s="17" t="s">
        <v>333</v>
      </c>
      <c r="L3" s="17" t="s">
        <v>335</v>
      </c>
      <c r="M3" t="s">
        <v>336</v>
      </c>
      <c r="N3" t="s">
        <v>337</v>
      </c>
      <c r="O3" s="17" t="s">
        <v>338</v>
      </c>
      <c r="P3" s="17" t="s">
        <v>339</v>
      </c>
      <c r="Q3" s="17" t="s">
        <v>331</v>
      </c>
      <c r="R3" t="s">
        <v>333</v>
      </c>
      <c r="S3" t="s">
        <v>335</v>
      </c>
      <c r="T3" t="s">
        <v>336</v>
      </c>
      <c r="U3" t="s">
        <v>337</v>
      </c>
      <c r="V3" t="s">
        <v>338</v>
      </c>
      <c r="W3" t="s">
        <v>339</v>
      </c>
      <c r="X3" t="s">
        <v>331</v>
      </c>
      <c r="Y3" t="s">
        <v>333</v>
      </c>
      <c r="Z3" t="s">
        <v>335</v>
      </c>
      <c r="AA3" t="s">
        <v>336</v>
      </c>
      <c r="AB3" t="s">
        <v>337</v>
      </c>
      <c r="AC3" t="s">
        <v>338</v>
      </c>
      <c r="AD3" t="s">
        <v>339</v>
      </c>
      <c r="AE3" t="s">
        <v>331</v>
      </c>
      <c r="AF3" t="s">
        <v>333</v>
      </c>
      <c r="AG3" t="s">
        <v>335</v>
      </c>
      <c r="AH3" t="s">
        <v>336</v>
      </c>
      <c r="AI3" t="s">
        <v>337</v>
      </c>
      <c r="AJ3" s="16" t="s">
        <v>338</v>
      </c>
      <c r="AK3" s="16" t="s">
        <v>339</v>
      </c>
      <c r="AL3" s="16" t="s">
        <v>331</v>
      </c>
      <c r="AM3" s="16" t="s">
        <v>333</v>
      </c>
      <c r="AN3" s="16" t="s">
        <v>335</v>
      </c>
      <c r="AO3" s="16" t="s">
        <v>336</v>
      </c>
      <c r="AP3" s="16" t="s">
        <v>337</v>
      </c>
      <c r="AQ3" s="16" t="s">
        <v>338</v>
      </c>
      <c r="AR3" s="16" t="s">
        <v>339</v>
      </c>
      <c r="AS3" s="16" t="s">
        <v>331</v>
      </c>
      <c r="AT3" s="16" t="s">
        <v>333</v>
      </c>
      <c r="AU3" s="16" t="s">
        <v>335</v>
      </c>
      <c r="AV3" s="16" t="s">
        <v>336</v>
      </c>
      <c r="AW3" s="16" t="s">
        <v>337</v>
      </c>
      <c r="AX3" s="16" t="s">
        <v>338</v>
      </c>
      <c r="AY3" s="16" t="s">
        <v>339</v>
      </c>
      <c r="AZ3" s="16" t="s">
        <v>331</v>
      </c>
      <c r="BA3" s="16" t="s">
        <v>333</v>
      </c>
      <c r="BB3" s="16" t="s">
        <v>335</v>
      </c>
      <c r="BC3" s="16" t="s">
        <v>336</v>
      </c>
      <c r="BD3" s="16" t="s">
        <v>337</v>
      </c>
      <c r="BE3" s="16" t="s">
        <v>338</v>
      </c>
      <c r="BF3" s="16" t="s">
        <v>339</v>
      </c>
      <c r="BG3" s="16" t="s">
        <v>331</v>
      </c>
      <c r="BH3" s="16" t="s">
        <v>333</v>
      </c>
      <c r="BI3" s="16" t="s">
        <v>335</v>
      </c>
      <c r="BJ3" t="s">
        <v>336</v>
      </c>
      <c r="BK3" t="s">
        <v>337</v>
      </c>
      <c r="BL3" s="16" t="s">
        <v>338</v>
      </c>
      <c r="BM3" s="16" t="s">
        <v>339</v>
      </c>
      <c r="BN3" s="16" t="s">
        <v>331</v>
      </c>
      <c r="BO3" s="16" t="s">
        <v>333</v>
      </c>
      <c r="BP3" s="16" t="s">
        <v>335</v>
      </c>
      <c r="BQ3" s="16" t="s">
        <v>336</v>
      </c>
      <c r="BR3" s="16" t="s">
        <v>337</v>
      </c>
      <c r="BS3" s="16" t="s">
        <v>338</v>
      </c>
      <c r="BT3" s="16" t="s">
        <v>339</v>
      </c>
      <c r="BU3" t="s">
        <v>331</v>
      </c>
      <c r="BV3" t="s">
        <v>333</v>
      </c>
      <c r="BW3" t="s">
        <v>335</v>
      </c>
      <c r="BX3" t="s">
        <v>336</v>
      </c>
      <c r="BY3" t="s">
        <v>337</v>
      </c>
      <c r="BZ3" t="s">
        <v>338</v>
      </c>
      <c r="CA3" t="s">
        <v>339</v>
      </c>
      <c r="CB3" t="s">
        <v>331</v>
      </c>
      <c r="CC3" t="s">
        <v>333</v>
      </c>
      <c r="CD3" t="s">
        <v>335</v>
      </c>
      <c r="CE3" t="s">
        <v>336</v>
      </c>
      <c r="CF3" t="s">
        <v>337</v>
      </c>
      <c r="CG3" t="s">
        <v>338</v>
      </c>
      <c r="CH3" t="s">
        <v>339</v>
      </c>
      <c r="CI3" t="s">
        <v>331</v>
      </c>
      <c r="CJ3" t="s">
        <v>333</v>
      </c>
      <c r="CK3" t="s">
        <v>335</v>
      </c>
      <c r="CL3" t="s">
        <v>336</v>
      </c>
      <c r="CM3" t="s">
        <v>337</v>
      </c>
      <c r="CN3" s="17" t="s">
        <v>338</v>
      </c>
      <c r="CO3" t="s">
        <v>339</v>
      </c>
      <c r="CP3" t="s">
        <v>331</v>
      </c>
      <c r="CQ3" t="s">
        <v>333</v>
      </c>
      <c r="CR3" t="s">
        <v>335</v>
      </c>
      <c r="CS3" t="s">
        <v>336</v>
      </c>
      <c r="CT3" t="s">
        <v>337</v>
      </c>
      <c r="CU3" t="s">
        <v>338</v>
      </c>
      <c r="CV3" t="s">
        <v>339</v>
      </c>
      <c r="CW3" t="s">
        <v>331</v>
      </c>
      <c r="CX3" t="s">
        <v>333</v>
      </c>
      <c r="CY3" t="s">
        <v>335</v>
      </c>
    </row>
    <row r="4" spans="1:103" ht="91" x14ac:dyDescent="0.2">
      <c r="A4" s="16" t="s">
        <v>320</v>
      </c>
      <c r="B4" s="12" t="s">
        <v>341</v>
      </c>
      <c r="C4" s="22" t="s">
        <v>354</v>
      </c>
      <c r="D4" s="18"/>
      <c r="E4" s="18"/>
      <c r="H4" s="18"/>
      <c r="I4" s="18"/>
    </row>
    <row r="5" spans="1:103" ht="39" x14ac:dyDescent="0.2">
      <c r="A5" s="16" t="s">
        <v>321</v>
      </c>
      <c r="B5" s="12" t="s">
        <v>342</v>
      </c>
      <c r="R5" s="24" t="s">
        <v>355</v>
      </c>
      <c r="S5" s="19"/>
      <c r="V5" s="19"/>
      <c r="W5" s="20" t="s">
        <v>340</v>
      </c>
      <c r="X5" s="19"/>
    </row>
    <row r="6" spans="1:103" ht="39" x14ac:dyDescent="0.2">
      <c r="A6" s="16" t="s">
        <v>322</v>
      </c>
      <c r="B6" s="12" t="s">
        <v>344</v>
      </c>
      <c r="Y6" s="24"/>
      <c r="Z6" s="19"/>
      <c r="AC6" s="19"/>
      <c r="AD6" s="19"/>
      <c r="AE6" s="20" t="s">
        <v>340</v>
      </c>
      <c r="AF6" s="20"/>
      <c r="AG6" s="19"/>
    </row>
    <row r="7" spans="1:103" ht="52" x14ac:dyDescent="0.2">
      <c r="A7" s="16" t="s">
        <v>356</v>
      </c>
      <c r="B7" s="12" t="s">
        <v>343</v>
      </c>
      <c r="R7" s="18"/>
      <c r="S7" s="18"/>
      <c r="V7" s="18"/>
      <c r="W7" s="18"/>
      <c r="X7" s="18"/>
      <c r="Y7" s="18"/>
      <c r="Z7" s="18"/>
      <c r="AC7" s="18"/>
      <c r="AD7" s="18"/>
      <c r="AE7" s="20"/>
      <c r="AF7" s="20"/>
    </row>
    <row r="8" spans="1:103" ht="39" x14ac:dyDescent="0.2">
      <c r="A8" s="16" t="s">
        <v>323</v>
      </c>
      <c r="B8" s="12" t="s">
        <v>345</v>
      </c>
      <c r="AJ8" s="21" t="s">
        <v>348</v>
      </c>
      <c r="AK8" s="21"/>
      <c r="AL8" s="21"/>
      <c r="AM8" s="21"/>
      <c r="AN8" s="21"/>
      <c r="AQ8" s="21" t="s">
        <v>349</v>
      </c>
      <c r="AR8" s="21"/>
      <c r="AS8" s="21"/>
      <c r="AT8" s="21"/>
      <c r="AU8" s="21"/>
      <c r="AX8" s="21" t="s">
        <v>350</v>
      </c>
      <c r="AY8" s="21"/>
      <c r="AZ8" s="21"/>
      <c r="BA8" s="21"/>
      <c r="BB8" s="21"/>
      <c r="BE8" s="21" t="s">
        <v>351</v>
      </c>
      <c r="BF8" s="21"/>
      <c r="BG8" s="21"/>
      <c r="BH8" s="21"/>
      <c r="BI8" s="21"/>
    </row>
    <row r="9" spans="1:103" ht="39" x14ac:dyDescent="0.2">
      <c r="A9" s="16" t="s">
        <v>324</v>
      </c>
      <c r="B9" s="12" t="s">
        <v>346</v>
      </c>
      <c r="AQ9" s="22"/>
      <c r="AR9" s="22"/>
      <c r="AS9" s="22"/>
      <c r="AT9" s="22"/>
      <c r="AU9" s="22"/>
      <c r="AX9" s="22"/>
      <c r="AY9" s="22"/>
      <c r="AZ9" s="22"/>
      <c r="BA9" s="22"/>
      <c r="BB9" s="22"/>
      <c r="BE9" s="22"/>
      <c r="BF9" s="22"/>
      <c r="BG9" s="22"/>
      <c r="BH9" s="22"/>
      <c r="BI9" s="22"/>
      <c r="BL9" s="22"/>
      <c r="BM9" s="22"/>
    </row>
    <row r="10" spans="1:103" ht="26" customHeight="1" x14ac:dyDescent="0.2">
      <c r="A10" s="16" t="s">
        <v>325</v>
      </c>
      <c r="B10" s="12" t="s">
        <v>347</v>
      </c>
      <c r="BN10" s="21"/>
      <c r="BO10" s="21"/>
      <c r="BP10" s="21"/>
      <c r="BS10" s="21"/>
    </row>
    <row r="11" spans="1:103" ht="26" customHeight="1" x14ac:dyDescent="0.2">
      <c r="A11" s="16" t="s">
        <v>326</v>
      </c>
      <c r="B11" s="16" t="s">
        <v>352</v>
      </c>
      <c r="BS11" s="23" t="s">
        <v>326</v>
      </c>
      <c r="BT11" s="23" t="s">
        <v>353</v>
      </c>
    </row>
  </sheetData>
  <phoneticPr fontId="2"/>
  <conditionalFormatting sqref="C1:CY4 C5:X5 AA5:CY5 C6:CY1048576">
    <cfRule type="expression" dxfId="0" priority="1">
      <formula>OR(C$3="土", C$3="日", C$3="祝")</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評価一覧</vt:lpstr>
      <vt:lpstr>追加削除候補</vt:lpstr>
      <vt:lpstr>評価レベル定義</vt:lpstr>
      <vt:lpstr>COMS仕様差</vt:lpstr>
      <vt:lpstr>スケジュール</vt:lpstr>
      <vt:lpstr>スケジュール（仮）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尾野 朔/Ono, Hajime</cp:lastModifiedBy>
  <dcterms:created xsi:type="dcterms:W3CDTF">2026-04-09T10:20:28Z</dcterms:created>
  <dcterms:modified xsi:type="dcterms:W3CDTF">2026-05-21T00:03:18Z</dcterms:modified>
</cp:coreProperties>
</file>